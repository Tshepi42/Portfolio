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p\Downloads\"/>
    </mc:Choice>
  </mc:AlternateContent>
  <xr:revisionPtr revIDLastSave="0" documentId="13_ncr:1_{18375BBE-235A-4016-B4B3-44217A86FA3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a" sheetId="6" r:id="rId1"/>
    <sheet name="balancing storage calculations" sheetId="29" r:id="rId2"/>
    <sheet name="Optimization" sheetId="3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6" l="1"/>
  <c r="K2" i="6"/>
</calcChain>
</file>

<file path=xl/sharedStrings.xml><?xml version="1.0" encoding="utf-8"?>
<sst xmlns="http://schemas.openxmlformats.org/spreadsheetml/2006/main" count="63" uniqueCount="47">
  <si>
    <t>Date</t>
  </si>
  <si>
    <t>Time</t>
  </si>
  <si>
    <t>Monday</t>
  </si>
  <si>
    <t>Tuesday</t>
  </si>
  <si>
    <t>Wednesday</t>
  </si>
  <si>
    <t>Thursday</t>
  </si>
  <si>
    <t>Friday</t>
  </si>
  <si>
    <t>Saturday</t>
  </si>
  <si>
    <t>Sunday</t>
  </si>
  <si>
    <t>Pi (π)</t>
  </si>
  <si>
    <t>Bottom storage (hours of average demand)</t>
  </si>
  <si>
    <t>Emergency storage (hours of average demand)</t>
  </si>
  <si>
    <t>Pipe roughness, K (mm)</t>
  </si>
  <si>
    <r>
      <t>Volume demanded (m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</si>
  <si>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Storage unit cost (Rand/m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</si>
  <si>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>Pipe unit cost (Rand/m)</t>
  </si>
  <si>
    <r>
      <t>Tank volume (m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</si>
  <si>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>Other relevant data</t>
  </si>
  <si>
    <r>
      <t>Kinematic viscosity, ʊ (m</t>
    </r>
    <r>
      <rPr>
        <b/>
        <vertAlign val="superscript"/>
        <sz val="14"/>
        <rFont val="Calibri"/>
        <family val="2"/>
      </rPr>
      <t>2</t>
    </r>
    <r>
      <rPr>
        <b/>
        <sz val="14"/>
        <rFont val="Calibri"/>
        <family val="2"/>
      </rPr>
      <t>/s)</t>
    </r>
  </si>
  <si>
    <t>Pipe diameter, D (m)</t>
  </si>
  <si>
    <r>
      <t xml:space="preserve">Pipe length, </t>
    </r>
    <r>
      <rPr>
        <b/>
        <i/>
        <sz val="14"/>
        <rFont val="Arial"/>
        <family val="2"/>
      </rPr>
      <t>l</t>
    </r>
    <r>
      <rPr>
        <b/>
        <sz val="14"/>
        <rFont val="Arial"/>
        <family val="2"/>
      </rPr>
      <t xml:space="preserve"> (m)</t>
    </r>
  </si>
  <si>
    <r>
      <t>Acceleration due to gravity, g (m/s</t>
    </r>
    <r>
      <rPr>
        <b/>
        <vertAlign val="superscript"/>
        <sz val="14"/>
        <rFont val="Arial"/>
        <family val="2"/>
      </rPr>
      <t>2</t>
    </r>
    <r>
      <rPr>
        <b/>
        <sz val="14"/>
        <rFont val="Arial"/>
        <family val="2"/>
      </rPr>
      <t>)</t>
    </r>
  </si>
  <si>
    <r>
      <t>Pipe maximum headloss, h</t>
    </r>
    <r>
      <rPr>
        <b/>
        <vertAlign val="subscript"/>
        <sz val="14"/>
        <rFont val="Arial"/>
        <family val="2"/>
      </rPr>
      <t>fmax</t>
    </r>
    <r>
      <rPr>
        <b/>
        <sz val="14"/>
        <rFont val="Arial"/>
        <family val="2"/>
      </rPr>
      <t xml:space="preserve"> (m)</t>
    </r>
  </si>
  <si>
    <r>
      <t>Volume demanded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</si>
  <si>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lambda at different diameters</t>
  </si>
  <si>
    <t xml:space="preserve"> Velocity at different diameters</t>
  </si>
  <si>
    <t xml:space="preserve"> Area at different diameters</t>
  </si>
  <si>
    <t xml:space="preserve"> Pipe supply</t>
  </si>
  <si>
    <t>Minimum tank volume at each diameter</t>
  </si>
  <si>
    <t>Maximum tank volume at each diameter</t>
  </si>
  <si>
    <t xml:space="preserve"> Maximum pipe headloss</t>
  </si>
  <si>
    <t xml:space="preserve"> Pipe Cost in Rands</t>
  </si>
  <si>
    <t xml:space="preserve"> balancing storage in m^3</t>
  </si>
  <si>
    <t xml:space="preserve"> Extra storage in m^3</t>
  </si>
  <si>
    <t xml:space="preserve"> Total Storage in m^3</t>
  </si>
  <si>
    <t xml:space="preserve"> Storage Cost in Rands</t>
  </si>
  <si>
    <t xml:space="preserve"> Total cost in Rands</t>
  </si>
  <si>
    <t xml:space="preserve"> tank volume at diameter 80</t>
  </si>
  <si>
    <t xml:space="preserve"> pipe supply at diameter 80</t>
  </si>
  <si>
    <t xml:space="preserve"> tank volume at diameter 0,05</t>
  </si>
  <si>
    <t xml:space="preserve"> pipe supply at diameter 0,05</t>
  </si>
  <si>
    <t xml:space="preserve"> tank volume at diameter 0,075</t>
  </si>
  <si>
    <t xml:space="preserve"> pipe supply at diameter 0,075</t>
  </si>
  <si>
    <t xml:space="preserve"> tank volume at diameter 0,1</t>
  </si>
  <si>
    <t xml:space="preserve"> pipe supply at diameter 0,1</t>
  </si>
  <si>
    <t xml:space="preserve"> tank volume at diameter 0,125</t>
  </si>
  <si>
    <t xml:space="preserve"> pipe supply at diameter 0,125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</si>
</sst>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&quot;#,##0.00;\-&quot;R&quot;#,##0.00"/>
    <numFmt numFmtId="164" formatCode="0.000"/>
    <numFmt numFmtId="165" formatCode="0.00000000"/>
  </numFmts>
  <fonts count="11" x14ac:knownFonts="1">
    <font>
      <sz val="10"/>
      <name val="Arial"/>
    </font>
    <font>
      <b/>
      <sz val="14"/>
      <name val="Arial"/>
      <family val="2"/>
    </font>
    <font>
      <b/>
      <vertAlign val="superscript"/>
      <sz val="14"/>
      <name val="Arial"/>
      <family val="2"/>
    </font>
    <font>
      <sz val="14"/>
      <name val="Arial"/>
      <family val="2"/>
    </font>
    <font>
      <b/>
      <sz val="14"/>
      <name val="Calibri"/>
      <family val="2"/>
    </font>
    <font>
      <b/>
      <vertAlign val="subscript"/>
      <sz val="14"/>
      <name val="Arial"/>
      <family val="2"/>
    </font>
    <font>
      <b/>
      <vertAlign val="superscript"/>
      <sz val="14"/>
      <name val="Calibri"/>
      <family val="2"/>
    </font>
    <font>
      <b/>
      <i/>
      <sz val="14"/>
      <name val="Arial"/>
      <family val="2"/>
    </font>
    <font>
      <b/>
      <sz val="10"/>
      <color rgb="FF80000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2" fontId="1" fillId="2" borderId="1" xfId="0" applyNumberFormat="1" applyFont="1" applyFill="1" applyBorder="1" applyAlignment="1">
      <alignment horizontal="center" wrapText="1"/>
    </xf>
    <xf numFmtId="0" fontId="3" fillId="0" borderId="0" xfId="0" applyFont="1"/>
    <xf numFmtId="2" fontId="1" fillId="2" borderId="1" xfId="0" applyNumberFormat="1" applyFont="1" applyFill="1" applyBorder="1" applyAlignment="1">
      <alignment horizontal="center"/>
    </xf>
    <xf numFmtId="0" fontId="3" fillId="2" borderId="1" xfId="0" applyFont="1" applyFill="1" applyBorder="1"/>
    <xf numFmtId="15" fontId="3" fillId="2" borderId="1" xfId="0" applyNumberFormat="1" applyFont="1" applyFill="1" applyBorder="1" applyAlignment="1">
      <alignment vertical="center" wrapText="1"/>
    </xf>
    <xf numFmtId="2" fontId="3" fillId="2" borderId="1" xfId="0" applyNumberFormat="1" applyFont="1" applyFill="1" applyBorder="1"/>
    <xf numFmtId="0" fontId="3" fillId="0" borderId="0" xfId="0" applyFont="1" applyAlignment="1">
      <alignment wrapText="1"/>
    </xf>
    <xf numFmtId="2" fontId="3" fillId="0" borderId="0" xfId="0" applyNumberFormat="1" applyFont="1"/>
    <xf numFmtId="20" fontId="3" fillId="2" borderId="2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/>
    </xf>
    <xf numFmtId="20" fontId="3" fillId="2" borderId="2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8" fillId="0" borderId="0" xfId="0" applyNumberFormat="1" applyFont="1" applyAlignment="1">
      <alignment horizontal="center" wrapText="1"/>
    </xf>
    <xf numFmtId="164" fontId="8" fillId="0" borderId="0" xfId="0" applyNumberFormat="1" applyFont="1" applyAlignment="1">
      <alignment horizontal="center" wrapText="1"/>
    </xf>
    <xf numFmtId="0" fontId="1" fillId="4" borderId="1" xfId="0" applyFont="1" applyFill="1" applyBorder="1"/>
    <xf numFmtId="2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2" fontId="3" fillId="3" borderId="1" xfId="0" applyNumberFormat="1" applyFont="1" applyFill="1" applyBorder="1" applyAlignment="1">
      <alignment horizontal="center" wrapText="1"/>
    </xf>
    <xf numFmtId="164" fontId="3" fillId="3" borderId="1" xfId="0" applyNumberFormat="1" applyFont="1" applyFill="1" applyBorder="1" applyAlignment="1">
      <alignment horizontal="center" wrapText="1"/>
    </xf>
    <xf numFmtId="2" fontId="4" fillId="4" borderId="1" xfId="0" applyNumberFormat="1" applyFont="1" applyFill="1" applyBorder="1"/>
    <xf numFmtId="165" fontId="1" fillId="4" borderId="1" xfId="0" applyNumberFormat="1" applyFont="1" applyFill="1" applyBorder="1"/>
    <xf numFmtId="2" fontId="1" fillId="4" borderId="1" xfId="0" applyNumberFormat="1" applyFont="1" applyFill="1" applyBorder="1"/>
    <xf numFmtId="0" fontId="0" fillId="5" borderId="0" xfId="0" applyFill="1"/>
    <xf numFmtId="0" fontId="0" fillId="2" borderId="0" xfId="0" applyFill="1"/>
    <xf numFmtId="2" fontId="1" fillId="4" borderId="1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 wrapText="1"/>
    </xf>
    <xf numFmtId="20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/>
    <xf numFmtId="15" fontId="9" fillId="0" borderId="0" xfId="0" applyNumberFormat="1" applyFont="1" applyFill="1" applyBorder="1" applyAlignment="1">
      <alignment horizontal="center" vertical="center" wrapText="1"/>
    </xf>
    <xf numFmtId="20" fontId="9" fillId="0" borderId="0" xfId="0" applyNumberFormat="1" applyFont="1" applyFill="1" applyBorder="1" applyAlignment="1">
      <alignment vertical="center" wrapText="1"/>
    </xf>
    <xf numFmtId="2" fontId="9" fillId="0" borderId="0" xfId="0" applyNumberFormat="1" applyFont="1" applyFill="1" applyBorder="1"/>
    <xf numFmtId="15" fontId="9" fillId="0" borderId="0" xfId="0" applyNumberFormat="1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wrapText="1"/>
    </xf>
    <xf numFmtId="164" fontId="9" fillId="0" borderId="0" xfId="0" applyNumberFormat="1" applyFont="1" applyFill="1" applyBorder="1" applyAlignment="1">
      <alignment horizontal="center" wrapText="1"/>
    </xf>
    <xf numFmtId="7" fontId="9" fillId="0" borderId="0" xfId="0" applyNumberFormat="1" applyFont="1" applyFill="1" applyBorder="1"/>
    <xf numFmtId="2" fontId="9" fillId="2" borderId="0" xfId="0" applyNumberFormat="1" applyFont="1" applyFill="1" applyBorder="1" applyAlignment="1">
      <alignment horizontal="center" wrapText="1"/>
    </xf>
    <xf numFmtId="164" fontId="9" fillId="2" borderId="0" xfId="0" applyNumberFormat="1" applyFont="1" applyFill="1" applyBorder="1" applyAlignment="1">
      <alignment horizontal="center" wrapText="1"/>
    </xf>
    <xf numFmtId="0" fontId="9" fillId="2" borderId="0" xfId="0" applyFont="1" applyFill="1" applyBorder="1"/>
    <xf numFmtId="7" fontId="9" fillId="2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1055914</xdr:colOff>
      <xdr:row>13</xdr:row>
      <xdr:rowOff>10886</xdr:rowOff>
    </xdr:from>
    <xdr:to>
      <xdr:col>11</xdr:col>
      <xdr:colOff>76200</xdr:colOff>
      <xdr:row>17</xdr:row>
      <xdr:rowOff>10885</xdr:rowOff>
    </xdr:to>
    <xdr:sp macro="[0]!o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93C82F-B4E4-CA59-563D-B78A3327E9BF}"/>
            </a:ext>
          </a:extLst>
        </xdr:cNvPr>
        <xdr:cNvSpPr/>
      </xdr:nvSpPr>
      <xdr:spPr bwMode="auto">
        <a:xfrm>
          <a:off x="11963400" y="3233057"/>
          <a:ext cx="4354286" cy="870857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ZA" sz="1400" baseline="0">
              <a:latin typeface="Algerian" panose="04020705040A02060702" pitchFamily="82" charset="0"/>
            </a:rPr>
            <a:t>       PIPE OPTIMIZATION AND COST CALCULATIONS</a:t>
          </a:r>
          <a:endParaRPr lang="en-ZA" sz="1400">
            <a:latin typeface="Algerian" panose="04020705040A0206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8"/>
  <sheetViews>
    <sheetView zoomScale="70" zoomScaleNormal="70" workbookViewId="0">
      <selection activeCell="G12" sqref="G12"/>
    </sheetView>
  </sheetViews>
  <sheetFormatPr defaultRowHeight="17.399999999999999" x14ac:dyDescent="0.3"/>
  <cols>
    <col min="1" max="1" width="16.33203125" style="2" customWidth="1"/>
    <col min="2" max="2" width="9.33203125" style="2" customWidth="1"/>
    <col min="3" max="3" width="31.5546875" style="2" customWidth="1"/>
    <col min="4" max="4" width="22.6640625" style="2" customWidth="1"/>
    <col min="5" max="6" width="5.77734375" style="2" customWidth="1"/>
    <col min="7" max="7" width="34.44140625" style="2" customWidth="1"/>
    <col min="8" max="8" width="26.21875" style="2" customWidth="1"/>
    <col min="9" max="9" width="7" style="2" customWidth="1"/>
    <col min="10" max="10" width="60.77734375" style="2" bestFit="1" customWidth="1"/>
    <col min="11" max="11" width="17" style="2" customWidth="1"/>
    <col min="12" max="12" width="12" style="2" bestFit="1" customWidth="1"/>
    <col min="13" max="13" width="15.6640625" style="2" bestFit="1" customWidth="1"/>
  </cols>
  <sheetData>
    <row r="1" spans="1:11" ht="36.6" x14ac:dyDescent="0.3">
      <c r="A1" s="14" t="s">
        <v>0</v>
      </c>
      <c r="B1" s="15" t="s">
        <v>1</v>
      </c>
      <c r="C1" s="1" t="s">
        <v>13</v>
      </c>
      <c r="D1" s="1" t="s">
        <v>16</v>
      </c>
      <c r="G1" s="21" t="s">
        <v>15</v>
      </c>
      <c r="H1" s="21" t="s">
        <v>19</v>
      </c>
      <c r="J1" s="29" t="s">
        <v>17</v>
      </c>
      <c r="K1" s="29"/>
    </row>
    <row r="2" spans="1:11" ht="19.8" x14ac:dyDescent="0.35">
      <c r="A2" s="10" t="s">
        <v>8</v>
      </c>
      <c r="B2" s="11">
        <v>0.99930555555555556</v>
      </c>
      <c r="C2" s="3"/>
      <c r="D2" s="4">
        <v>13</v>
      </c>
      <c r="G2" s="22">
        <v>11.25</v>
      </c>
      <c r="H2" s="23">
        <v>0.05</v>
      </c>
      <c r="J2" s="24" t="s">
        <v>18</v>
      </c>
      <c r="K2" s="25">
        <f>1.15*10^-6</f>
        <v>1.1499999999999998E-6</v>
      </c>
    </row>
    <row r="3" spans="1:11" x14ac:dyDescent="0.3">
      <c r="A3" s="12" t="s">
        <v>2</v>
      </c>
      <c r="B3" s="9">
        <v>0</v>
      </c>
      <c r="C3" s="6">
        <v>3.7974999999999999</v>
      </c>
      <c r="D3" s="4"/>
      <c r="G3" s="22">
        <v>17</v>
      </c>
      <c r="H3" s="23">
        <v>7.4999999999999997E-2</v>
      </c>
      <c r="J3" s="26" t="s">
        <v>20</v>
      </c>
      <c r="K3" s="26">
        <v>8900</v>
      </c>
    </row>
    <row r="4" spans="1:11" ht="19.2" x14ac:dyDescent="0.3">
      <c r="A4" s="5"/>
      <c r="B4" s="9">
        <v>4.1666666666666699E-2</v>
      </c>
      <c r="C4" s="6">
        <v>3.6225000000000001</v>
      </c>
      <c r="D4" s="4"/>
      <c r="G4" s="22">
        <v>25.75</v>
      </c>
      <c r="H4" s="23">
        <v>0.1</v>
      </c>
      <c r="J4" s="26" t="s">
        <v>21</v>
      </c>
      <c r="K4" s="26">
        <v>9.81</v>
      </c>
    </row>
    <row r="5" spans="1:11" ht="18" x14ac:dyDescent="0.35">
      <c r="A5" s="5"/>
      <c r="B5" s="9">
        <v>8.3333333333333301E-2</v>
      </c>
      <c r="C5" s="6">
        <v>3.4950000000000001</v>
      </c>
      <c r="D5" s="4"/>
      <c r="G5" s="22">
        <v>26</v>
      </c>
      <c r="H5" s="23">
        <v>80</v>
      </c>
      <c r="J5" s="24" t="s">
        <v>9</v>
      </c>
      <c r="K5" s="26">
        <f>22/7</f>
        <v>3.1428571428571428</v>
      </c>
    </row>
    <row r="6" spans="1:11" ht="19.2" x14ac:dyDescent="0.3">
      <c r="A6" s="5"/>
      <c r="B6" s="9">
        <v>0.125</v>
      </c>
      <c r="C6" s="6">
        <v>3.4075000000000002</v>
      </c>
      <c r="D6" s="4"/>
      <c r="G6" s="22">
        <v>28</v>
      </c>
      <c r="H6" s="23">
        <v>0.125</v>
      </c>
      <c r="J6" s="26" t="s">
        <v>14</v>
      </c>
      <c r="K6" s="18">
        <v>550</v>
      </c>
    </row>
    <row r="7" spans="1:11" x14ac:dyDescent="0.3">
      <c r="A7" s="5"/>
      <c r="B7" s="9">
        <v>0.16666666666666699</v>
      </c>
      <c r="C7" s="6">
        <v>7.8</v>
      </c>
      <c r="D7" s="4"/>
      <c r="G7" s="22">
        <v>32</v>
      </c>
      <c r="H7" s="23">
        <v>80</v>
      </c>
      <c r="J7" s="18" t="s">
        <v>12</v>
      </c>
      <c r="K7" s="18">
        <v>0.03</v>
      </c>
    </row>
    <row r="8" spans="1:11" x14ac:dyDescent="0.3">
      <c r="A8" s="5"/>
      <c r="B8" s="9">
        <v>0.20833333333333301</v>
      </c>
      <c r="C8" s="6">
        <v>18.71</v>
      </c>
      <c r="D8" s="4"/>
      <c r="J8" s="18" t="s">
        <v>11</v>
      </c>
      <c r="K8" s="18">
        <v>8</v>
      </c>
    </row>
    <row r="9" spans="1:11" x14ac:dyDescent="0.3">
      <c r="A9" s="5"/>
      <c r="B9" s="9">
        <v>0.25</v>
      </c>
      <c r="C9" s="6">
        <v>18.64</v>
      </c>
      <c r="D9" s="4"/>
      <c r="G9" s="19"/>
      <c r="H9" s="20"/>
      <c r="J9" s="18" t="s">
        <v>10</v>
      </c>
      <c r="K9" s="18">
        <v>1</v>
      </c>
    </row>
    <row r="10" spans="1:11" ht="21" x14ac:dyDescent="0.45">
      <c r="A10" s="5"/>
      <c r="B10" s="9">
        <v>0.29166666666666702</v>
      </c>
      <c r="C10" s="6">
        <v>16.32</v>
      </c>
      <c r="D10" s="4"/>
      <c r="G10" s="16"/>
      <c r="H10" s="17"/>
      <c r="J10" s="18" t="s">
        <v>22</v>
      </c>
      <c r="K10" s="18">
        <v>10</v>
      </c>
    </row>
    <row r="11" spans="1:11" x14ac:dyDescent="0.3">
      <c r="A11" s="5"/>
      <c r="B11" s="9">
        <v>0.33333333333333298</v>
      </c>
      <c r="C11" s="6">
        <v>13.89</v>
      </c>
      <c r="D11" s="4"/>
    </row>
    <row r="12" spans="1:11" x14ac:dyDescent="0.3">
      <c r="A12" s="5"/>
      <c r="B12" s="9">
        <v>0.375</v>
      </c>
      <c r="C12" s="6">
        <v>13.08</v>
      </c>
      <c r="D12" s="4"/>
    </row>
    <row r="13" spans="1:11" x14ac:dyDescent="0.3">
      <c r="A13" s="5"/>
      <c r="B13" s="9">
        <v>0.41666666666666702</v>
      </c>
      <c r="C13" s="6">
        <v>9.3125</v>
      </c>
      <c r="D13" s="4"/>
    </row>
    <row r="14" spans="1:11" x14ac:dyDescent="0.3">
      <c r="A14" s="5"/>
      <c r="B14" s="9">
        <v>0.45833333333333298</v>
      </c>
      <c r="C14" s="6">
        <v>9.6374999999999993</v>
      </c>
      <c r="D14" s="4"/>
    </row>
    <row r="15" spans="1:11" x14ac:dyDescent="0.3">
      <c r="A15" s="5"/>
      <c r="B15" s="9">
        <v>0.5</v>
      </c>
      <c r="C15" s="6">
        <v>11.583333333333334</v>
      </c>
      <c r="D15" s="4"/>
    </row>
    <row r="16" spans="1:11" x14ac:dyDescent="0.3">
      <c r="A16" s="5"/>
      <c r="B16" s="9">
        <v>0.54166666666666696</v>
      </c>
      <c r="C16" s="6">
        <v>13.233333333333334</v>
      </c>
      <c r="D16" s="4"/>
    </row>
    <row r="17" spans="1:13" x14ac:dyDescent="0.3">
      <c r="A17" s="5"/>
      <c r="B17" s="9">
        <v>0.58333333333333304</v>
      </c>
      <c r="C17" s="6">
        <v>8.83</v>
      </c>
      <c r="D17" s="4"/>
    </row>
    <row r="18" spans="1:13" x14ac:dyDescent="0.3">
      <c r="A18" s="5"/>
      <c r="B18" s="9">
        <v>0.625</v>
      </c>
      <c r="C18" s="6">
        <v>7.2850000000000001</v>
      </c>
      <c r="D18" s="4"/>
    </row>
    <row r="19" spans="1:13" x14ac:dyDescent="0.3">
      <c r="A19" s="5"/>
      <c r="B19" s="9">
        <v>0.66666666666666696</v>
      </c>
      <c r="C19" s="6">
        <v>6.53</v>
      </c>
      <c r="D19" s="4"/>
    </row>
    <row r="20" spans="1:13" x14ac:dyDescent="0.3">
      <c r="A20" s="5"/>
      <c r="B20" s="9">
        <v>0.70833333333333304</v>
      </c>
      <c r="C20" s="6">
        <v>15.58</v>
      </c>
      <c r="D20" s="4"/>
    </row>
    <row r="21" spans="1:13" x14ac:dyDescent="0.3">
      <c r="A21" s="5"/>
      <c r="B21" s="9">
        <v>0.75</v>
      </c>
      <c r="C21" s="6">
        <v>13.25</v>
      </c>
      <c r="D21" s="4"/>
    </row>
    <row r="22" spans="1:13" x14ac:dyDescent="0.3">
      <c r="A22" s="5"/>
      <c r="B22" s="9">
        <v>0.79166666666666696</v>
      </c>
      <c r="C22" s="6">
        <v>14.42</v>
      </c>
      <c r="D22" s="4"/>
    </row>
    <row r="23" spans="1:13" x14ac:dyDescent="0.3">
      <c r="A23" s="5"/>
      <c r="B23" s="9">
        <v>0.83333333333333304</v>
      </c>
      <c r="C23" s="6">
        <v>15.18</v>
      </c>
      <c r="D23" s="4"/>
    </row>
    <row r="24" spans="1:13" x14ac:dyDescent="0.3">
      <c r="A24" s="5"/>
      <c r="B24" s="9">
        <v>0.875</v>
      </c>
      <c r="C24" s="6">
        <v>6.585</v>
      </c>
      <c r="D24" s="4"/>
    </row>
    <row r="25" spans="1:13" x14ac:dyDescent="0.3">
      <c r="A25" s="5"/>
      <c r="B25" s="9">
        <v>0.91666666666666696</v>
      </c>
      <c r="C25" s="6">
        <v>6.0549999999999997</v>
      </c>
      <c r="D25" s="4"/>
    </row>
    <row r="26" spans="1:13" x14ac:dyDescent="0.3">
      <c r="A26" s="4"/>
      <c r="B26" s="9">
        <v>0.95833333333333304</v>
      </c>
      <c r="C26" s="6">
        <v>5.585</v>
      </c>
      <c r="D26" s="4"/>
    </row>
    <row r="27" spans="1:13" x14ac:dyDescent="0.3">
      <c r="A27" s="12" t="s">
        <v>3</v>
      </c>
      <c r="B27" s="9">
        <v>0</v>
      </c>
      <c r="C27" s="6">
        <v>3.4224999999999999</v>
      </c>
      <c r="D27" s="4"/>
    </row>
    <row r="28" spans="1:13" x14ac:dyDescent="0.3">
      <c r="A28" s="5"/>
      <c r="B28" s="9">
        <v>4.1666666666666699E-2</v>
      </c>
      <c r="C28" s="6">
        <v>2.8450000000000002</v>
      </c>
      <c r="D28" s="4"/>
      <c r="F28" s="7"/>
      <c r="G28" s="7"/>
      <c r="H28" s="7"/>
      <c r="I28" s="7"/>
      <c r="J28" s="7"/>
      <c r="K28" s="7"/>
      <c r="L28" s="7"/>
      <c r="M28" s="7"/>
    </row>
    <row r="29" spans="1:13" x14ac:dyDescent="0.3">
      <c r="A29" s="5"/>
      <c r="B29" s="9">
        <v>8.3333333333333301E-2</v>
      </c>
      <c r="C29" s="6">
        <v>2.8725000000000001</v>
      </c>
      <c r="D29" s="4"/>
      <c r="F29" s="7"/>
      <c r="G29" s="7"/>
      <c r="H29" s="7"/>
      <c r="I29" s="7"/>
      <c r="J29" s="7"/>
      <c r="K29" s="7"/>
      <c r="L29" s="7"/>
      <c r="M29" s="7"/>
    </row>
    <row r="30" spans="1:13" x14ac:dyDescent="0.3">
      <c r="A30" s="5"/>
      <c r="B30" s="9">
        <v>0.125</v>
      </c>
      <c r="C30" s="6">
        <v>2.9925000000000002</v>
      </c>
      <c r="D30" s="4"/>
      <c r="F30" s="7"/>
      <c r="G30" s="7"/>
      <c r="H30" s="7"/>
      <c r="I30" s="7"/>
      <c r="J30" s="7"/>
      <c r="K30" s="7"/>
      <c r="L30" s="7"/>
      <c r="M30" s="7"/>
    </row>
    <row r="31" spans="1:13" x14ac:dyDescent="0.3">
      <c r="A31" s="5"/>
      <c r="B31" s="9">
        <v>0.16666666666666699</v>
      </c>
      <c r="C31" s="6">
        <v>6.95</v>
      </c>
      <c r="D31" s="4"/>
      <c r="F31" s="7"/>
      <c r="G31" s="7"/>
      <c r="H31" s="7"/>
      <c r="I31" s="7"/>
      <c r="J31" s="7"/>
      <c r="K31" s="7"/>
      <c r="L31" s="7"/>
      <c r="M31" s="7"/>
    </row>
    <row r="32" spans="1:13" x14ac:dyDescent="0.3">
      <c r="A32" s="5"/>
      <c r="B32" s="9">
        <v>0.20833333333333301</v>
      </c>
      <c r="C32" s="6">
        <v>20.76</v>
      </c>
      <c r="D32" s="4"/>
      <c r="F32" s="7"/>
      <c r="G32" s="7"/>
      <c r="H32" s="7"/>
      <c r="I32" s="7"/>
      <c r="J32" s="7"/>
      <c r="K32" s="7"/>
      <c r="L32" s="7"/>
      <c r="M32" s="7"/>
    </row>
    <row r="33" spans="1:13" x14ac:dyDescent="0.3">
      <c r="A33" s="5"/>
      <c r="B33" s="9">
        <v>0.25</v>
      </c>
      <c r="C33" s="6">
        <v>21.22</v>
      </c>
      <c r="D33" s="4"/>
      <c r="F33" s="7"/>
      <c r="G33" s="7"/>
      <c r="H33" s="7"/>
      <c r="I33" s="7"/>
      <c r="J33" s="7"/>
      <c r="K33" s="7"/>
      <c r="L33" s="7"/>
      <c r="M33" s="7"/>
    </row>
    <row r="34" spans="1:13" x14ac:dyDescent="0.3">
      <c r="A34" s="5"/>
      <c r="B34" s="9">
        <v>0.29166666666666702</v>
      </c>
      <c r="C34" s="6">
        <v>19.350000000000001</v>
      </c>
      <c r="D34" s="4"/>
    </row>
    <row r="35" spans="1:13" x14ac:dyDescent="0.3">
      <c r="A35" s="5"/>
      <c r="B35" s="9">
        <v>0.33333333333333298</v>
      </c>
      <c r="C35" s="6">
        <v>13.79</v>
      </c>
      <c r="D35" s="4"/>
    </row>
    <row r="36" spans="1:13" x14ac:dyDescent="0.3">
      <c r="A36" s="5"/>
      <c r="B36" s="9">
        <v>0.375</v>
      </c>
      <c r="C36" s="6">
        <v>13.69</v>
      </c>
      <c r="D36" s="4"/>
    </row>
    <row r="37" spans="1:13" x14ac:dyDescent="0.3">
      <c r="A37" s="5"/>
      <c r="B37" s="9">
        <v>0.41666666666666702</v>
      </c>
      <c r="C37" s="6">
        <v>9.3450000000000006</v>
      </c>
      <c r="D37" s="4"/>
    </row>
    <row r="38" spans="1:13" x14ac:dyDescent="0.3">
      <c r="A38" s="5"/>
      <c r="B38" s="9">
        <v>0.45833333333333298</v>
      </c>
      <c r="C38" s="6">
        <v>8.3000000000000007</v>
      </c>
      <c r="D38" s="4"/>
    </row>
    <row r="39" spans="1:13" x14ac:dyDescent="0.3">
      <c r="A39" s="5"/>
      <c r="B39" s="9">
        <v>0.5</v>
      </c>
      <c r="C39" s="6">
        <v>14.23</v>
      </c>
      <c r="D39" s="4"/>
    </row>
    <row r="40" spans="1:13" x14ac:dyDescent="0.3">
      <c r="A40" s="5"/>
      <c r="B40" s="9">
        <v>0.54166666666666696</v>
      </c>
      <c r="C40" s="6">
        <v>11.37</v>
      </c>
      <c r="D40" s="4"/>
    </row>
    <row r="41" spans="1:13" x14ac:dyDescent="0.3">
      <c r="A41" s="5"/>
      <c r="B41" s="9">
        <v>0.58333333333333304</v>
      </c>
      <c r="C41" s="6">
        <v>9.0299999999999994</v>
      </c>
      <c r="D41" s="4"/>
    </row>
    <row r="42" spans="1:13" x14ac:dyDescent="0.3">
      <c r="A42" s="5"/>
      <c r="B42" s="9">
        <v>0.625</v>
      </c>
      <c r="C42" s="6">
        <v>7.76</v>
      </c>
      <c r="D42" s="4"/>
    </row>
    <row r="43" spans="1:13" x14ac:dyDescent="0.3">
      <c r="A43" s="5"/>
      <c r="B43" s="9">
        <v>0.66666666666666696</v>
      </c>
      <c r="C43" s="6">
        <v>11.26</v>
      </c>
      <c r="D43" s="4"/>
    </row>
    <row r="44" spans="1:13" x14ac:dyDescent="0.3">
      <c r="A44" s="5"/>
      <c r="B44" s="9">
        <v>0.70833333333333304</v>
      </c>
      <c r="C44" s="6">
        <v>15.76</v>
      </c>
      <c r="D44" s="4"/>
    </row>
    <row r="45" spans="1:13" x14ac:dyDescent="0.3">
      <c r="A45" s="5"/>
      <c r="B45" s="9">
        <v>0.75</v>
      </c>
      <c r="C45" s="6">
        <v>13</v>
      </c>
      <c r="D45" s="4"/>
    </row>
    <row r="46" spans="1:13" x14ac:dyDescent="0.3">
      <c r="A46" s="5"/>
      <c r="B46" s="9">
        <v>0.79166666666666696</v>
      </c>
      <c r="C46" s="6">
        <v>13.51</v>
      </c>
      <c r="D46" s="4"/>
    </row>
    <row r="47" spans="1:13" x14ac:dyDescent="0.3">
      <c r="A47" s="5"/>
      <c r="B47" s="9">
        <v>0.83333333333333304</v>
      </c>
      <c r="C47" s="6">
        <v>14.36</v>
      </c>
      <c r="D47" s="4"/>
    </row>
    <row r="48" spans="1:13" x14ac:dyDescent="0.3">
      <c r="A48" s="5"/>
      <c r="B48" s="9">
        <v>0.875</v>
      </c>
      <c r="C48" s="6">
        <v>12.76</v>
      </c>
      <c r="D48" s="4"/>
    </row>
    <row r="49" spans="1:4" x14ac:dyDescent="0.3">
      <c r="A49" s="5"/>
      <c r="B49" s="9">
        <v>0.91666666666666696</v>
      </c>
      <c r="C49" s="6">
        <v>8.4700000000000006</v>
      </c>
      <c r="D49" s="4"/>
    </row>
    <row r="50" spans="1:4" x14ac:dyDescent="0.3">
      <c r="A50" s="4"/>
      <c r="B50" s="9">
        <v>0.95833333333333304</v>
      </c>
      <c r="C50" s="6">
        <v>5.25</v>
      </c>
      <c r="D50" s="4"/>
    </row>
    <row r="51" spans="1:4" x14ac:dyDescent="0.3">
      <c r="A51" s="12" t="s">
        <v>4</v>
      </c>
      <c r="B51" s="9">
        <v>0</v>
      </c>
      <c r="C51" s="6">
        <v>3.83</v>
      </c>
      <c r="D51" s="4"/>
    </row>
    <row r="52" spans="1:4" x14ac:dyDescent="0.3">
      <c r="A52" s="5"/>
      <c r="B52" s="9">
        <v>4.1666666666666699E-2</v>
      </c>
      <c r="C52" s="6">
        <v>2.8129629629629629</v>
      </c>
      <c r="D52" s="4"/>
    </row>
    <row r="53" spans="1:4" x14ac:dyDescent="0.3">
      <c r="A53" s="5"/>
      <c r="B53" s="9">
        <v>8.3333333333333301E-2</v>
      </c>
      <c r="C53" s="6">
        <v>2.6833333333333331</v>
      </c>
      <c r="D53" s="4"/>
    </row>
    <row r="54" spans="1:4" x14ac:dyDescent="0.3">
      <c r="A54" s="5"/>
      <c r="B54" s="9">
        <v>0.125</v>
      </c>
      <c r="C54" s="6">
        <v>2.588888888888889</v>
      </c>
      <c r="D54" s="4"/>
    </row>
    <row r="55" spans="1:4" x14ac:dyDescent="0.3">
      <c r="A55" s="5"/>
      <c r="B55" s="9">
        <v>0.16666666666666699</v>
      </c>
      <c r="C55" s="6">
        <v>2.5240740740740741</v>
      </c>
      <c r="D55" s="4"/>
    </row>
    <row r="56" spans="1:4" x14ac:dyDescent="0.3">
      <c r="A56" s="5"/>
      <c r="B56" s="9">
        <v>0.20833333333333301</v>
      </c>
      <c r="C56" s="6">
        <v>5.7777777777777777</v>
      </c>
      <c r="D56" s="4"/>
    </row>
    <row r="57" spans="1:4" x14ac:dyDescent="0.3">
      <c r="A57" s="5"/>
      <c r="B57" s="9">
        <v>0.25</v>
      </c>
      <c r="C57" s="6">
        <v>13.859259259259259</v>
      </c>
      <c r="D57" s="4"/>
    </row>
    <row r="58" spans="1:4" x14ac:dyDescent="0.3">
      <c r="A58" s="5"/>
      <c r="B58" s="9">
        <v>0.29166666666666702</v>
      </c>
      <c r="C58" s="6">
        <v>13.807407407407407</v>
      </c>
      <c r="D58" s="4"/>
    </row>
    <row r="59" spans="1:4" x14ac:dyDescent="0.3">
      <c r="A59" s="5"/>
      <c r="B59" s="9">
        <v>0.33333333333333298</v>
      </c>
      <c r="C59" s="6">
        <v>12.088888888888889</v>
      </c>
      <c r="D59" s="4"/>
    </row>
    <row r="60" spans="1:4" x14ac:dyDescent="0.3">
      <c r="A60" s="5"/>
      <c r="B60" s="9">
        <v>0.375</v>
      </c>
      <c r="C60" s="6">
        <v>10.288888888888888</v>
      </c>
      <c r="D60" s="4"/>
    </row>
    <row r="61" spans="1:4" x14ac:dyDescent="0.3">
      <c r="A61" s="5"/>
      <c r="B61" s="9">
        <v>0.41666666666666702</v>
      </c>
      <c r="C61" s="6">
        <v>9.6888888888888882</v>
      </c>
      <c r="D61" s="4"/>
    </row>
    <row r="62" spans="1:4" x14ac:dyDescent="0.3">
      <c r="A62" s="5"/>
      <c r="B62" s="9">
        <v>0.45833333333333298</v>
      </c>
      <c r="C62" s="6">
        <v>6.8981481481481479</v>
      </c>
      <c r="D62" s="4"/>
    </row>
    <row r="63" spans="1:4" x14ac:dyDescent="0.3">
      <c r="A63" s="5"/>
      <c r="B63" s="9">
        <v>0.5</v>
      </c>
      <c r="C63" s="6">
        <v>7.1388888888888875</v>
      </c>
      <c r="D63" s="4"/>
    </row>
    <row r="64" spans="1:4" x14ac:dyDescent="0.3">
      <c r="A64" s="5"/>
      <c r="B64" s="9">
        <v>0.54166666666666696</v>
      </c>
      <c r="C64" s="6">
        <v>8.5802469135802468</v>
      </c>
      <c r="D64" s="4"/>
    </row>
    <row r="65" spans="1:4" x14ac:dyDescent="0.3">
      <c r="A65" s="5"/>
      <c r="B65" s="9">
        <v>0.58333333333333304</v>
      </c>
      <c r="C65" s="6">
        <v>9.80246913580247</v>
      </c>
      <c r="D65" s="4"/>
    </row>
    <row r="66" spans="1:4" x14ac:dyDescent="0.3">
      <c r="A66" s="5"/>
      <c r="B66" s="9">
        <v>0.625</v>
      </c>
      <c r="C66" s="6">
        <v>6.5407407407407403</v>
      </c>
      <c r="D66" s="4"/>
    </row>
    <row r="67" spans="1:4" x14ac:dyDescent="0.3">
      <c r="A67" s="5"/>
      <c r="B67" s="9">
        <v>0.66666666666666696</v>
      </c>
      <c r="C67" s="6">
        <v>5.3962962962962964</v>
      </c>
      <c r="D67" s="4"/>
    </row>
    <row r="68" spans="1:4" x14ac:dyDescent="0.3">
      <c r="A68" s="5"/>
      <c r="B68" s="9">
        <v>0.70833333333333304</v>
      </c>
      <c r="C68" s="6">
        <v>4.837037037037037</v>
      </c>
      <c r="D68" s="4"/>
    </row>
    <row r="69" spans="1:4" x14ac:dyDescent="0.3">
      <c r="A69" s="5"/>
      <c r="B69" s="9">
        <v>0.75</v>
      </c>
      <c r="C69" s="6">
        <v>11.540740740740739</v>
      </c>
      <c r="D69" s="4"/>
    </row>
    <row r="70" spans="1:4" x14ac:dyDescent="0.3">
      <c r="A70" s="5"/>
      <c r="B70" s="9">
        <v>0.79166666666666696</v>
      </c>
      <c r="C70" s="6">
        <v>9.8148148148148149</v>
      </c>
      <c r="D70" s="4"/>
    </row>
    <row r="71" spans="1:4" x14ac:dyDescent="0.3">
      <c r="A71" s="5"/>
      <c r="B71" s="9">
        <v>0.83333333333333304</v>
      </c>
      <c r="C71" s="6">
        <v>10.68148148148148</v>
      </c>
      <c r="D71" s="4"/>
    </row>
    <row r="72" spans="1:4" x14ac:dyDescent="0.3">
      <c r="A72" s="5"/>
      <c r="B72" s="9">
        <v>0.875</v>
      </c>
      <c r="C72" s="6">
        <v>11.244444444444444</v>
      </c>
      <c r="D72" s="4"/>
    </row>
    <row r="73" spans="1:4" x14ac:dyDescent="0.3">
      <c r="A73" s="5"/>
      <c r="B73" s="9">
        <v>0.91666666666666696</v>
      </c>
      <c r="C73" s="6">
        <v>4.8777777777777773</v>
      </c>
      <c r="D73" s="4"/>
    </row>
    <row r="74" spans="1:4" x14ac:dyDescent="0.3">
      <c r="A74" s="4"/>
      <c r="B74" s="9">
        <v>0.95833333333333304</v>
      </c>
      <c r="C74" s="6">
        <v>4.4851851851851849</v>
      </c>
      <c r="D74" s="4"/>
    </row>
    <row r="75" spans="1:4" x14ac:dyDescent="0.3">
      <c r="A75" s="12" t="s">
        <v>5</v>
      </c>
      <c r="B75" s="9">
        <v>0</v>
      </c>
      <c r="C75" s="6">
        <v>4.1370370370370368</v>
      </c>
      <c r="D75" s="4"/>
    </row>
    <row r="76" spans="1:4" x14ac:dyDescent="0.3">
      <c r="A76" s="5"/>
      <c r="B76" s="9">
        <v>4.1666666666666699E-2</v>
      </c>
      <c r="C76" s="6">
        <v>4.5569999999999995</v>
      </c>
      <c r="D76" s="4"/>
    </row>
    <row r="77" spans="1:4" x14ac:dyDescent="0.3">
      <c r="A77" s="5"/>
      <c r="B77" s="9">
        <v>8.3333333333333301E-2</v>
      </c>
      <c r="C77" s="6">
        <v>4.3469999999999995</v>
      </c>
      <c r="D77" s="4"/>
    </row>
    <row r="78" spans="1:4" x14ac:dyDescent="0.3">
      <c r="A78" s="5"/>
      <c r="B78" s="9">
        <v>0.125</v>
      </c>
      <c r="C78" s="6">
        <v>4.194</v>
      </c>
      <c r="D78" s="4"/>
    </row>
    <row r="79" spans="1:4" x14ac:dyDescent="0.3">
      <c r="A79" s="5"/>
      <c r="B79" s="9">
        <v>0.16666666666666699</v>
      </c>
      <c r="C79" s="6">
        <v>4.0890000000000004</v>
      </c>
      <c r="D79" s="4"/>
    </row>
    <row r="80" spans="1:4" x14ac:dyDescent="0.3">
      <c r="A80" s="5"/>
      <c r="B80" s="9">
        <v>0.20833333333333301</v>
      </c>
      <c r="C80" s="6">
        <v>9.36</v>
      </c>
      <c r="D80" s="4"/>
    </row>
    <row r="81" spans="1:4" x14ac:dyDescent="0.3">
      <c r="A81" s="5"/>
      <c r="B81" s="9">
        <v>0.25</v>
      </c>
      <c r="C81" s="6">
        <v>22.452000000000002</v>
      </c>
      <c r="D81" s="4"/>
    </row>
    <row r="82" spans="1:4" x14ac:dyDescent="0.3">
      <c r="A82" s="5"/>
      <c r="B82" s="9">
        <v>0.29166666666666702</v>
      </c>
      <c r="C82" s="6">
        <v>22.367999999999999</v>
      </c>
      <c r="D82" s="4"/>
    </row>
    <row r="83" spans="1:4" x14ac:dyDescent="0.3">
      <c r="A83" s="5"/>
      <c r="B83" s="9">
        <v>0.33333333333333298</v>
      </c>
      <c r="C83" s="6">
        <v>19.584</v>
      </c>
      <c r="D83" s="4"/>
    </row>
    <row r="84" spans="1:4" x14ac:dyDescent="0.3">
      <c r="A84" s="5"/>
      <c r="B84" s="9">
        <v>0.375</v>
      </c>
      <c r="C84" s="6">
        <v>16.667999999999999</v>
      </c>
      <c r="D84" s="4"/>
    </row>
    <row r="85" spans="1:4" x14ac:dyDescent="0.3">
      <c r="A85" s="5"/>
      <c r="B85" s="9">
        <v>0.41666666666666702</v>
      </c>
      <c r="C85" s="6">
        <v>15.696</v>
      </c>
      <c r="D85" s="4"/>
    </row>
    <row r="86" spans="1:4" x14ac:dyDescent="0.3">
      <c r="A86" s="5"/>
      <c r="B86" s="9">
        <v>0.45833333333333298</v>
      </c>
      <c r="C86" s="6">
        <v>11.175000000000001</v>
      </c>
      <c r="D86" s="4"/>
    </row>
    <row r="87" spans="1:4" x14ac:dyDescent="0.3">
      <c r="A87" s="5"/>
      <c r="B87" s="9">
        <v>0.5</v>
      </c>
      <c r="C87" s="6">
        <v>11.565</v>
      </c>
      <c r="D87" s="4"/>
    </row>
    <row r="88" spans="1:4" x14ac:dyDescent="0.3">
      <c r="A88" s="5"/>
      <c r="B88" s="9">
        <v>0.54166666666666696</v>
      </c>
      <c r="C88" s="6">
        <v>13.9</v>
      </c>
      <c r="D88" s="4"/>
    </row>
    <row r="89" spans="1:4" x14ac:dyDescent="0.3">
      <c r="A89" s="5"/>
      <c r="B89" s="9">
        <v>0.58333333333333304</v>
      </c>
      <c r="C89" s="6">
        <v>15.88</v>
      </c>
      <c r="D89" s="4"/>
    </row>
    <row r="90" spans="1:4" x14ac:dyDescent="0.3">
      <c r="A90" s="5"/>
      <c r="B90" s="9">
        <v>0.625</v>
      </c>
      <c r="C90" s="6">
        <v>10.596</v>
      </c>
      <c r="D90" s="4"/>
    </row>
    <row r="91" spans="1:4" x14ac:dyDescent="0.3">
      <c r="A91" s="5"/>
      <c r="B91" s="9">
        <v>0.66666666666666696</v>
      </c>
      <c r="C91" s="6">
        <v>8.7419999999999991</v>
      </c>
      <c r="D91" s="4"/>
    </row>
    <row r="92" spans="1:4" x14ac:dyDescent="0.3">
      <c r="A92" s="5"/>
      <c r="B92" s="9">
        <v>0.70833333333333304</v>
      </c>
      <c r="C92" s="6">
        <v>7.8360000000000003</v>
      </c>
      <c r="D92" s="4"/>
    </row>
    <row r="93" spans="1:4" x14ac:dyDescent="0.3">
      <c r="A93" s="5"/>
      <c r="B93" s="9">
        <v>0.75</v>
      </c>
      <c r="C93" s="6">
        <v>18.695999999999998</v>
      </c>
      <c r="D93" s="4"/>
    </row>
    <row r="94" spans="1:4" x14ac:dyDescent="0.3">
      <c r="A94" s="5"/>
      <c r="B94" s="9">
        <v>0.79166666666666696</v>
      </c>
      <c r="C94" s="6">
        <v>15.9</v>
      </c>
      <c r="D94" s="4"/>
    </row>
    <row r="95" spans="1:4" x14ac:dyDescent="0.3">
      <c r="A95" s="5"/>
      <c r="B95" s="9">
        <v>0.83333333333333304</v>
      </c>
      <c r="C95" s="6">
        <v>17.303999999999998</v>
      </c>
      <c r="D95" s="4"/>
    </row>
    <row r="96" spans="1:4" x14ac:dyDescent="0.3">
      <c r="A96" s="5"/>
      <c r="B96" s="9">
        <v>0.875</v>
      </c>
      <c r="C96" s="6">
        <v>18.215999999999998</v>
      </c>
      <c r="D96" s="4"/>
    </row>
    <row r="97" spans="1:4" x14ac:dyDescent="0.3">
      <c r="A97" s="5"/>
      <c r="B97" s="9">
        <v>0.91666666666666696</v>
      </c>
      <c r="C97" s="6">
        <v>7.9019999999999992</v>
      </c>
      <c r="D97" s="4"/>
    </row>
    <row r="98" spans="1:4" x14ac:dyDescent="0.3">
      <c r="A98" s="4"/>
      <c r="B98" s="9">
        <v>0.95833333333333304</v>
      </c>
      <c r="C98" s="6">
        <v>7.2659999999999991</v>
      </c>
      <c r="D98" s="4"/>
    </row>
    <row r="99" spans="1:4" x14ac:dyDescent="0.3">
      <c r="A99" s="12" t="s">
        <v>6</v>
      </c>
      <c r="B99" s="9">
        <v>0</v>
      </c>
      <c r="C99" s="6">
        <v>3.702</v>
      </c>
      <c r="D99" s="4"/>
    </row>
    <row r="100" spans="1:4" x14ac:dyDescent="0.3">
      <c r="A100" s="5"/>
      <c r="B100" s="9">
        <v>4.1666666666666699E-2</v>
      </c>
      <c r="C100" s="6">
        <v>3.3021739130434784</v>
      </c>
      <c r="D100" s="4"/>
    </row>
    <row r="101" spans="1:4" x14ac:dyDescent="0.3">
      <c r="A101" s="5"/>
      <c r="B101" s="9">
        <v>8.3333333333333301E-2</v>
      </c>
      <c r="C101" s="6">
        <v>3.15</v>
      </c>
      <c r="D101" s="4"/>
    </row>
    <row r="102" spans="1:4" x14ac:dyDescent="0.3">
      <c r="A102" s="5"/>
      <c r="B102" s="9">
        <v>0.125</v>
      </c>
      <c r="C102" s="6">
        <v>3.0391304347826091</v>
      </c>
      <c r="D102" s="4"/>
    </row>
    <row r="103" spans="1:4" x14ac:dyDescent="0.3">
      <c r="A103" s="5"/>
      <c r="B103" s="9">
        <v>0.16666666666666699</v>
      </c>
      <c r="C103" s="6">
        <v>2.9630434782608699</v>
      </c>
      <c r="D103" s="4"/>
    </row>
    <row r="104" spans="1:4" x14ac:dyDescent="0.3">
      <c r="A104" s="5"/>
      <c r="B104" s="9">
        <v>0.20833333333333301</v>
      </c>
      <c r="C104" s="6">
        <v>6.7826086956521747</v>
      </c>
      <c r="D104" s="4"/>
    </row>
    <row r="105" spans="1:4" x14ac:dyDescent="0.3">
      <c r="A105" s="5"/>
      <c r="B105" s="9">
        <v>0.25</v>
      </c>
      <c r="C105" s="6">
        <v>16.269565217391307</v>
      </c>
      <c r="D105" s="4"/>
    </row>
    <row r="106" spans="1:4" x14ac:dyDescent="0.3">
      <c r="A106" s="5"/>
      <c r="B106" s="9">
        <v>0.29166666666666702</v>
      </c>
      <c r="C106" s="6">
        <v>16.208695652173915</v>
      </c>
      <c r="D106" s="4"/>
    </row>
    <row r="107" spans="1:4" x14ac:dyDescent="0.3">
      <c r="A107" s="5"/>
      <c r="B107" s="9">
        <v>0.33333333333333298</v>
      </c>
      <c r="C107" s="6">
        <v>14.191304347826089</v>
      </c>
      <c r="D107" s="4"/>
    </row>
    <row r="108" spans="1:4" x14ac:dyDescent="0.3">
      <c r="A108" s="5"/>
      <c r="B108" s="9">
        <v>0.375</v>
      </c>
      <c r="C108" s="6">
        <v>12.078260869565218</v>
      </c>
      <c r="D108" s="4"/>
    </row>
    <row r="109" spans="1:4" x14ac:dyDescent="0.3">
      <c r="A109" s="5"/>
      <c r="B109" s="9">
        <v>0.41666666666666702</v>
      </c>
      <c r="C109" s="6">
        <v>11.373913043478261</v>
      </c>
      <c r="D109" s="4"/>
    </row>
    <row r="110" spans="1:4" x14ac:dyDescent="0.3">
      <c r="A110" s="5"/>
      <c r="B110" s="9">
        <v>0.45833333333333298</v>
      </c>
      <c r="C110" s="6">
        <v>8.0978260869565215</v>
      </c>
      <c r="D110" s="4"/>
    </row>
    <row r="111" spans="1:4" x14ac:dyDescent="0.3">
      <c r="A111" s="5"/>
      <c r="B111" s="9">
        <v>0.5</v>
      </c>
      <c r="C111" s="6">
        <v>8.3804347826086953</v>
      </c>
      <c r="D111" s="4"/>
    </row>
    <row r="112" spans="1:4" x14ac:dyDescent="0.3">
      <c r="A112" s="5"/>
      <c r="B112" s="9">
        <v>0.54166666666666696</v>
      </c>
      <c r="C112" s="6">
        <v>10.072463768115943</v>
      </c>
      <c r="D112" s="4"/>
    </row>
    <row r="113" spans="1:4" x14ac:dyDescent="0.3">
      <c r="A113" s="5"/>
      <c r="B113" s="9">
        <v>0.58333333333333304</v>
      </c>
      <c r="C113" s="6">
        <v>11.507246376811596</v>
      </c>
      <c r="D113" s="4"/>
    </row>
    <row r="114" spans="1:4" x14ac:dyDescent="0.3">
      <c r="A114" s="5"/>
      <c r="B114" s="9">
        <v>0.625</v>
      </c>
      <c r="C114" s="6">
        <v>7.6782608695652179</v>
      </c>
      <c r="D114" s="4"/>
    </row>
    <row r="115" spans="1:4" x14ac:dyDescent="0.3">
      <c r="A115" s="5"/>
      <c r="B115" s="9">
        <v>0.66666666666666696</v>
      </c>
      <c r="C115" s="6">
        <v>6.3347826086956527</v>
      </c>
      <c r="D115" s="4"/>
    </row>
    <row r="116" spans="1:4" x14ac:dyDescent="0.3">
      <c r="A116" s="5"/>
      <c r="B116" s="9">
        <v>0.70833333333333304</v>
      </c>
      <c r="C116" s="6">
        <v>5.6782608695652179</v>
      </c>
      <c r="D116" s="4"/>
    </row>
    <row r="117" spans="1:4" x14ac:dyDescent="0.3">
      <c r="A117" s="5"/>
      <c r="B117" s="9">
        <v>0.75</v>
      </c>
      <c r="C117" s="6">
        <v>13.547826086956523</v>
      </c>
      <c r="D117" s="4"/>
    </row>
    <row r="118" spans="1:4" x14ac:dyDescent="0.3">
      <c r="A118" s="5"/>
      <c r="B118" s="9">
        <v>0.79166666666666696</v>
      </c>
      <c r="C118" s="6">
        <v>11.521739130434783</v>
      </c>
      <c r="D118" s="4"/>
    </row>
    <row r="119" spans="1:4" x14ac:dyDescent="0.3">
      <c r="A119" s="5"/>
      <c r="B119" s="9">
        <v>0.83333333333333304</v>
      </c>
      <c r="C119" s="6">
        <v>12.53913043478261</v>
      </c>
      <c r="D119" s="4"/>
    </row>
    <row r="120" spans="1:4" x14ac:dyDescent="0.3">
      <c r="A120" s="5"/>
      <c r="B120" s="9">
        <v>0.875</v>
      </c>
      <c r="C120" s="6">
        <v>13.2</v>
      </c>
      <c r="D120" s="4"/>
    </row>
    <row r="121" spans="1:4" x14ac:dyDescent="0.3">
      <c r="A121" s="5"/>
      <c r="B121" s="9">
        <v>0.91666666666666696</v>
      </c>
      <c r="C121" s="6">
        <v>5.7260869565217396</v>
      </c>
      <c r="D121" s="4"/>
    </row>
    <row r="122" spans="1:4" x14ac:dyDescent="0.3">
      <c r="A122" s="4"/>
      <c r="B122" s="9">
        <v>0.95833333333333304</v>
      </c>
      <c r="C122" s="6">
        <v>5.2652173913043478</v>
      </c>
      <c r="D122" s="4"/>
    </row>
    <row r="123" spans="1:4" x14ac:dyDescent="0.3">
      <c r="A123" s="12" t="s">
        <v>7</v>
      </c>
      <c r="B123" s="9">
        <v>0</v>
      </c>
      <c r="C123" s="6">
        <v>2.8565217391304301</v>
      </c>
      <c r="D123" s="4"/>
    </row>
    <row r="124" spans="1:4" x14ac:dyDescent="0.3">
      <c r="A124" s="5"/>
      <c r="B124" s="9">
        <v>4.1666666666666699E-2</v>
      </c>
      <c r="C124" s="6">
        <v>2.58</v>
      </c>
      <c r="D124" s="4"/>
    </row>
    <row r="125" spans="1:4" x14ac:dyDescent="0.3">
      <c r="A125" s="5"/>
      <c r="B125" s="9">
        <v>8.3333333333333301E-2</v>
      </c>
      <c r="C125" s="6">
        <v>3.27</v>
      </c>
      <c r="D125" s="4"/>
    </row>
    <row r="126" spans="1:4" x14ac:dyDescent="0.3">
      <c r="A126" s="5"/>
      <c r="B126" s="9">
        <v>0.125</v>
      </c>
      <c r="C126" s="6">
        <v>3.3133333333333299</v>
      </c>
      <c r="D126" s="4"/>
    </row>
    <row r="127" spans="1:4" x14ac:dyDescent="0.3">
      <c r="A127" s="5"/>
      <c r="B127" s="9">
        <v>0.16666666666666699</v>
      </c>
      <c r="C127" s="6">
        <v>3.4166666666666701</v>
      </c>
      <c r="D127" s="4"/>
    </row>
    <row r="128" spans="1:4" x14ac:dyDescent="0.3">
      <c r="A128" s="5"/>
      <c r="B128" s="9">
        <v>0.20833333333333301</v>
      </c>
      <c r="C128" s="6">
        <v>4.0166666666666702</v>
      </c>
      <c r="D128" s="4"/>
    </row>
    <row r="129" spans="1:4" x14ac:dyDescent="0.3">
      <c r="A129" s="5"/>
      <c r="B129" s="9">
        <v>0.25</v>
      </c>
      <c r="C129" s="6">
        <v>4.58</v>
      </c>
      <c r="D129" s="4"/>
    </row>
    <row r="130" spans="1:4" x14ac:dyDescent="0.3">
      <c r="A130" s="5"/>
      <c r="B130" s="9">
        <v>0.29166666666666702</v>
      </c>
      <c r="C130" s="6">
        <v>4.58</v>
      </c>
      <c r="D130" s="4"/>
    </row>
    <row r="131" spans="1:4" x14ac:dyDescent="0.3">
      <c r="A131" s="5"/>
      <c r="B131" s="9">
        <v>0.33333333333333298</v>
      </c>
      <c r="C131" s="6">
        <v>5.23</v>
      </c>
      <c r="D131" s="4"/>
    </row>
    <row r="132" spans="1:4" x14ac:dyDescent="0.3">
      <c r="A132" s="5"/>
      <c r="B132" s="9">
        <v>0.375</v>
      </c>
      <c r="C132" s="6">
        <v>9.0399999999999991</v>
      </c>
      <c r="D132" s="4"/>
    </row>
    <row r="133" spans="1:4" x14ac:dyDescent="0.3">
      <c r="A133" s="5"/>
      <c r="B133" s="9">
        <v>0.41666666666666702</v>
      </c>
      <c r="C133" s="6">
        <v>8.5299999999999994</v>
      </c>
      <c r="D133" s="4"/>
    </row>
    <row r="134" spans="1:4" x14ac:dyDescent="0.3">
      <c r="A134" s="5"/>
      <c r="B134" s="9">
        <v>0.45833333333333298</v>
      </c>
      <c r="C134" s="6">
        <v>9.5666666666666664</v>
      </c>
      <c r="D134" s="4"/>
    </row>
    <row r="135" spans="1:4" x14ac:dyDescent="0.3">
      <c r="A135" s="5"/>
      <c r="B135" s="9">
        <v>0.5</v>
      </c>
      <c r="C135" s="6">
        <v>8.4533333333333296</v>
      </c>
      <c r="D135" s="4"/>
    </row>
    <row r="136" spans="1:4" x14ac:dyDescent="0.3">
      <c r="A136" s="5"/>
      <c r="B136" s="9">
        <v>0.54166666666666696</v>
      </c>
      <c r="C136" s="6">
        <v>10.373333333333299</v>
      </c>
      <c r="D136" s="4"/>
    </row>
    <row r="137" spans="1:4" x14ac:dyDescent="0.3">
      <c r="A137" s="5"/>
      <c r="B137" s="9">
        <v>0.58333333333333304</v>
      </c>
      <c r="C137" s="6">
        <v>10.6133333333333</v>
      </c>
      <c r="D137" s="4"/>
    </row>
    <row r="138" spans="1:4" x14ac:dyDescent="0.3">
      <c r="A138" s="5"/>
      <c r="B138" s="9">
        <v>0.625</v>
      </c>
      <c r="C138" s="6">
        <v>10.86</v>
      </c>
      <c r="D138" s="4"/>
    </row>
    <row r="139" spans="1:4" x14ac:dyDescent="0.3">
      <c r="A139" s="5"/>
      <c r="B139" s="9">
        <v>0.66666666666666696</v>
      </c>
      <c r="C139" s="6">
        <v>11.7</v>
      </c>
      <c r="D139" s="4"/>
    </row>
    <row r="140" spans="1:4" x14ac:dyDescent="0.3">
      <c r="A140" s="5"/>
      <c r="B140" s="9">
        <v>0.70833333333333304</v>
      </c>
      <c r="C140" s="6">
        <v>11.353333333333333</v>
      </c>
      <c r="D140" s="4"/>
    </row>
    <row r="141" spans="1:4" x14ac:dyDescent="0.3">
      <c r="A141" s="5"/>
      <c r="B141" s="9">
        <v>0.75</v>
      </c>
      <c r="C141" s="6">
        <v>11.52</v>
      </c>
      <c r="D141" s="4"/>
    </row>
    <row r="142" spans="1:4" x14ac:dyDescent="0.3">
      <c r="A142" s="5"/>
      <c r="B142" s="9">
        <v>0.79166666666666696</v>
      </c>
      <c r="C142" s="6">
        <v>12.126666666666667</v>
      </c>
      <c r="D142" s="4"/>
    </row>
    <row r="143" spans="1:4" x14ac:dyDescent="0.3">
      <c r="A143" s="5"/>
      <c r="B143" s="9">
        <v>0.83333333333333304</v>
      </c>
      <c r="C143" s="6">
        <v>11.886666666666665</v>
      </c>
      <c r="D143" s="4"/>
    </row>
    <row r="144" spans="1:4" x14ac:dyDescent="0.3">
      <c r="A144" s="5"/>
      <c r="B144" s="9">
        <v>0.875</v>
      </c>
      <c r="C144" s="6">
        <v>6.043333333333333</v>
      </c>
      <c r="D144" s="4"/>
    </row>
    <row r="145" spans="1:4" x14ac:dyDescent="0.3">
      <c r="A145" s="5"/>
      <c r="B145" s="9">
        <v>0.91666666666666696</v>
      </c>
      <c r="C145" s="6">
        <v>6.11</v>
      </c>
      <c r="D145" s="4"/>
    </row>
    <row r="146" spans="1:4" x14ac:dyDescent="0.3">
      <c r="A146" s="4"/>
      <c r="B146" s="9">
        <v>0.95833333333333304</v>
      </c>
      <c r="C146" s="6">
        <v>5.5933333333333337</v>
      </c>
      <c r="D146" s="4"/>
    </row>
    <row r="147" spans="1:4" x14ac:dyDescent="0.3">
      <c r="A147" s="12" t="s">
        <v>8</v>
      </c>
      <c r="B147" s="9">
        <v>0</v>
      </c>
      <c r="C147" s="6">
        <v>2.73</v>
      </c>
      <c r="D147" s="4"/>
    </row>
    <row r="148" spans="1:4" x14ac:dyDescent="0.3">
      <c r="A148" s="5"/>
      <c r="B148" s="9">
        <v>4.1666666666666699E-2</v>
      </c>
      <c r="C148" s="6">
        <v>3.45</v>
      </c>
      <c r="D148" s="4"/>
    </row>
    <row r="149" spans="1:4" x14ac:dyDescent="0.3">
      <c r="A149" s="5"/>
      <c r="B149" s="9">
        <v>8.3333333333333301E-2</v>
      </c>
      <c r="C149" s="6">
        <v>3</v>
      </c>
      <c r="D149" s="4"/>
    </row>
    <row r="150" spans="1:4" x14ac:dyDescent="0.3">
      <c r="A150" s="5"/>
      <c r="B150" s="9">
        <v>0.125</v>
      </c>
      <c r="C150" s="6">
        <v>3.45</v>
      </c>
      <c r="D150" s="4"/>
    </row>
    <row r="151" spans="1:4" x14ac:dyDescent="0.3">
      <c r="A151" s="5"/>
      <c r="B151" s="9">
        <v>0.16666666666666699</v>
      </c>
      <c r="C151" s="6">
        <v>3.09</v>
      </c>
      <c r="D151" s="4"/>
    </row>
    <row r="152" spans="1:4" x14ac:dyDescent="0.3">
      <c r="A152" s="5"/>
      <c r="B152" s="9">
        <v>0.20833333333333301</v>
      </c>
      <c r="C152" s="6">
        <v>3.8033333333333301</v>
      </c>
      <c r="D152" s="4"/>
    </row>
    <row r="153" spans="1:4" x14ac:dyDescent="0.3">
      <c r="A153" s="5"/>
      <c r="B153" s="9">
        <v>0.25</v>
      </c>
      <c r="C153" s="6">
        <v>4.0966666666666667</v>
      </c>
      <c r="D153" s="4"/>
    </row>
    <row r="154" spans="1:4" x14ac:dyDescent="0.3">
      <c r="A154" s="5"/>
      <c r="B154" s="9">
        <v>0.29166666666666702</v>
      </c>
      <c r="C154" s="6">
        <v>4.9933333333333332</v>
      </c>
      <c r="D154" s="4"/>
    </row>
    <row r="155" spans="1:4" x14ac:dyDescent="0.3">
      <c r="A155" s="5"/>
      <c r="B155" s="9">
        <v>0.33333333333333298</v>
      </c>
      <c r="C155" s="6">
        <v>5.0566666666666702</v>
      </c>
      <c r="D155" s="4"/>
    </row>
    <row r="156" spans="1:4" x14ac:dyDescent="0.3">
      <c r="A156" s="5"/>
      <c r="B156" s="9">
        <v>0.375</v>
      </c>
      <c r="C156" s="6">
        <v>5.29</v>
      </c>
      <c r="D156" s="4"/>
    </row>
    <row r="157" spans="1:4" x14ac:dyDescent="0.3">
      <c r="A157" s="5"/>
      <c r="B157" s="9">
        <v>0.41666666666666702</v>
      </c>
      <c r="C157" s="6">
        <v>5.33</v>
      </c>
      <c r="D157" s="4"/>
    </row>
    <row r="158" spans="1:4" x14ac:dyDescent="0.3">
      <c r="A158" s="5"/>
      <c r="B158" s="9">
        <v>0.45833333333333298</v>
      </c>
      <c r="C158" s="6">
        <v>4.7566666666666668</v>
      </c>
      <c r="D158" s="4"/>
    </row>
    <row r="159" spans="1:4" x14ac:dyDescent="0.3">
      <c r="A159" s="5"/>
      <c r="B159" s="9">
        <v>0.5</v>
      </c>
      <c r="C159" s="6">
        <v>5.24</v>
      </c>
      <c r="D159" s="4"/>
    </row>
    <row r="160" spans="1:4" x14ac:dyDescent="0.3">
      <c r="A160" s="5"/>
      <c r="B160" s="9">
        <v>0.54166666666666696</v>
      </c>
      <c r="C160" s="6">
        <v>4.7166666666666668</v>
      </c>
      <c r="D160" s="4"/>
    </row>
    <row r="161" spans="1:4" x14ac:dyDescent="0.3">
      <c r="A161" s="5"/>
      <c r="B161" s="9">
        <v>0.58333333333333304</v>
      </c>
      <c r="C161" s="6">
        <v>5.373333333333334</v>
      </c>
      <c r="D161" s="4"/>
    </row>
    <row r="162" spans="1:4" x14ac:dyDescent="0.3">
      <c r="A162" s="5"/>
      <c r="B162" s="9">
        <v>0.625</v>
      </c>
      <c r="C162" s="6">
        <v>5.39</v>
      </c>
      <c r="D162" s="4"/>
    </row>
    <row r="163" spans="1:4" x14ac:dyDescent="0.3">
      <c r="A163" s="5"/>
      <c r="B163" s="9">
        <v>0.66666666666666696</v>
      </c>
      <c r="C163" s="6">
        <v>5.9933333333333332</v>
      </c>
      <c r="D163" s="4"/>
    </row>
    <row r="164" spans="1:4" x14ac:dyDescent="0.3">
      <c r="A164" s="5"/>
      <c r="B164" s="9">
        <v>0.70833333333333304</v>
      </c>
      <c r="C164" s="6">
        <v>5.67</v>
      </c>
      <c r="D164" s="4"/>
    </row>
    <row r="165" spans="1:4" x14ac:dyDescent="0.3">
      <c r="A165" s="5"/>
      <c r="B165" s="9">
        <v>0.75</v>
      </c>
      <c r="C165" s="6">
        <v>5.57</v>
      </c>
      <c r="D165" s="4"/>
    </row>
    <row r="166" spans="1:4" x14ac:dyDescent="0.3">
      <c r="A166" s="5"/>
      <c r="B166" s="9">
        <v>0.79166666666666696</v>
      </c>
      <c r="C166" s="6">
        <v>5.3666666666666671</v>
      </c>
      <c r="D166" s="4"/>
    </row>
    <row r="167" spans="1:4" x14ac:dyDescent="0.3">
      <c r="A167" s="5"/>
      <c r="B167" s="9">
        <v>0.83333333333333304</v>
      </c>
      <c r="C167" s="6">
        <v>5.1333333333333302</v>
      </c>
      <c r="D167" s="4"/>
    </row>
    <row r="168" spans="1:4" x14ac:dyDescent="0.3">
      <c r="A168" s="5"/>
      <c r="B168" s="9">
        <v>0.875</v>
      </c>
      <c r="C168" s="6">
        <v>4.60666666666667</v>
      </c>
      <c r="D168" s="4"/>
    </row>
    <row r="169" spans="1:4" x14ac:dyDescent="0.3">
      <c r="A169" s="5"/>
      <c r="B169" s="9">
        <v>0.91666666666666696</v>
      </c>
      <c r="C169" s="6">
        <v>3.79</v>
      </c>
      <c r="D169" s="4"/>
    </row>
    <row r="170" spans="1:4" x14ac:dyDescent="0.3">
      <c r="A170" s="13"/>
      <c r="B170" s="9">
        <v>0.95833333333333304</v>
      </c>
      <c r="C170" s="6">
        <v>3.7133333333333298</v>
      </c>
      <c r="D170" s="4"/>
    </row>
    <row r="171" spans="1:4" x14ac:dyDescent="0.3">
      <c r="C171" s="8"/>
    </row>
    <row r="172" spans="1:4" x14ac:dyDescent="0.3">
      <c r="C172" s="8"/>
    </row>
    <row r="173" spans="1:4" x14ac:dyDescent="0.3">
      <c r="C173" s="8"/>
    </row>
    <row r="174" spans="1:4" x14ac:dyDescent="0.3">
      <c r="C174" s="8"/>
    </row>
    <row r="175" spans="1:4" x14ac:dyDescent="0.3">
      <c r="C175" s="8"/>
    </row>
    <row r="176" spans="1:4" x14ac:dyDescent="0.3">
      <c r="C176" s="8"/>
    </row>
    <row r="177" spans="3:3" x14ac:dyDescent="0.3">
      <c r="C177" s="8"/>
    </row>
    <row r="178" spans="3:3" x14ac:dyDescent="0.3">
      <c r="C178" s="8"/>
    </row>
  </sheetData>
  <mergeCells count="1">
    <mergeCell ref="J1:K1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EC5C-9008-4C8B-AE0B-F15810D576A5}">
  <dimension ref="A1:V170"/>
  <sheetViews>
    <sheetView workbookViewId="0"/>
  </sheetViews>
  <sheetFormatPr defaultRowHeight="13.2" x14ac:dyDescent="0.25"/>
  <cols>
    <col min="1" max="1" width="24.77734375" bestFit="1" customWidth="1"/>
    <col min="2" max="2" width="26.109375" bestFit="1" customWidth="1"/>
    <col min="3" max="3" width="23.44140625" bestFit="1" customWidth="1"/>
    <col min="4" max="4" width="11" bestFit="1" customWidth="1"/>
    <col min="5" max="5" width="33.21875" bestFit="1" customWidth="1"/>
    <col min="6" max="6" width="32.88671875" bestFit="1" customWidth="1"/>
    <col min="8" max="8" width="7.21875" bestFit="1" customWidth="1"/>
    <col min="9" max="9" width="5.5546875" bestFit="1" customWidth="1"/>
    <col min="10" max="10" width="20.21875" bestFit="1" customWidth="1"/>
    <col min="11" max="11" width="24.77734375" bestFit="1" customWidth="1"/>
    <col min="12" max="12" width="25" bestFit="1" customWidth="1"/>
    <col min="13" max="13" width="25.88671875" bestFit="1" customWidth="1"/>
    <col min="14" max="14" width="26.109375" bestFit="1" customWidth="1"/>
    <col min="15" max="15" width="23.77734375" bestFit="1" customWidth="1"/>
    <col min="16" max="16" width="24" bestFit="1" customWidth="1"/>
    <col min="17" max="17" width="23.21875" bestFit="1" customWidth="1"/>
    <col min="18" max="18" width="23.44140625" bestFit="1" customWidth="1"/>
    <col min="19" max="19" width="25.88671875" bestFit="1" customWidth="1"/>
    <col min="20" max="20" width="26.109375" bestFit="1" customWidth="1"/>
    <col min="21" max="21" width="23.21875" bestFit="1" customWidth="1"/>
    <col min="22" max="22" width="23.44140625" bestFit="1" customWidth="1"/>
  </cols>
  <sheetData>
    <row r="1" spans="1:22" ht="15.6" x14ac:dyDescent="0.25">
      <c r="A1" s="27" t="s">
        <v>24</v>
      </c>
      <c r="B1" s="27" t="s">
        <v>25</v>
      </c>
      <c r="C1" s="27" t="s">
        <v>26</v>
      </c>
      <c r="D1" s="27" t="s">
        <v>27</v>
      </c>
      <c r="E1" s="27" t="s">
        <v>29</v>
      </c>
      <c r="F1" s="27" t="s">
        <v>28</v>
      </c>
      <c r="H1" s="30" t="s">
        <v>0</v>
      </c>
      <c r="I1" s="30" t="s">
        <v>1</v>
      </c>
      <c r="J1" s="33" t="s">
        <v>23</v>
      </c>
      <c r="K1" s="33" t="s">
        <v>40</v>
      </c>
      <c r="L1" t="s">
        <v>39</v>
      </c>
      <c r="M1" t="s">
        <v>42</v>
      </c>
      <c r="N1" t="s">
        <v>41</v>
      </c>
      <c r="O1" t="s">
        <v>44</v>
      </c>
      <c r="P1" t="s">
        <v>43</v>
      </c>
      <c r="Q1" t="s">
        <v>38</v>
      </c>
      <c r="R1" t="s">
        <v>37</v>
      </c>
      <c r="S1" t="s">
        <v>46</v>
      </c>
      <c r="T1" t="s">
        <v>45</v>
      </c>
      <c r="U1" t="s">
        <v>38</v>
      </c>
      <c r="V1" t="s">
        <v>37</v>
      </c>
    </row>
    <row r="2" spans="1:22" x14ac:dyDescent="0.25">
      <c r="A2">
        <v>3.410878786322713E-2</v>
      </c>
      <c r="B2">
        <v>0.17976550812280084</v>
      </c>
      <c r="C2">
        <v>1.9642856717109686E-3</v>
      </c>
      <c r="D2">
        <v>1.271198922744454</v>
      </c>
      <c r="E2">
        <v>13</v>
      </c>
      <c r="F2">
        <v>-1255.6170860782345</v>
      </c>
      <c r="H2" s="30" t="s">
        <v>8</v>
      </c>
      <c r="I2" s="32">
        <v>0.99930555555555556</v>
      </c>
      <c r="J2" s="33"/>
      <c r="K2" s="34">
        <v>1.271198922744454</v>
      </c>
      <c r="L2">
        <v>13</v>
      </c>
      <c r="M2">
        <v>3.8462182255288528</v>
      </c>
      <c r="N2">
        <v>13</v>
      </c>
      <c r="O2">
        <v>8.3867207717398369</v>
      </c>
      <c r="P2">
        <v>13</v>
      </c>
      <c r="Q2">
        <v>329815318.98992473</v>
      </c>
      <c r="R2">
        <v>13</v>
      </c>
      <c r="S2">
        <v>15.308588588766984</v>
      </c>
      <c r="T2">
        <v>13</v>
      </c>
      <c r="U2">
        <v>329815318.98992473</v>
      </c>
      <c r="V2">
        <v>13</v>
      </c>
    </row>
    <row r="3" spans="1:22" x14ac:dyDescent="0.25">
      <c r="A3">
        <v>2.8293180529333738E-2</v>
      </c>
      <c r="B3">
        <v>0.24173762659711537</v>
      </c>
      <c r="C3">
        <v>4.4196427613496783E-3</v>
      </c>
      <c r="D3">
        <v>3.8462182255288528</v>
      </c>
      <c r="E3">
        <v>14.06237290211541</v>
      </c>
      <c r="F3">
        <v>-823.20294632817945</v>
      </c>
      <c r="H3" s="35" t="s">
        <v>2</v>
      </c>
      <c r="I3" s="36">
        <v>0</v>
      </c>
      <c r="J3" s="37">
        <v>3.7974999999999999</v>
      </c>
      <c r="K3" s="34">
        <v>1.271198922744454</v>
      </c>
      <c r="L3">
        <v>10.473698922744454</v>
      </c>
      <c r="M3">
        <v>3.8462182255288528</v>
      </c>
      <c r="N3">
        <v>13.048718225528853</v>
      </c>
      <c r="O3">
        <v>8.3867207717398369</v>
      </c>
      <c r="P3">
        <v>17.589220771739836</v>
      </c>
      <c r="Q3">
        <v>329815318.98992473</v>
      </c>
      <c r="R3">
        <v>329815328.19242471</v>
      </c>
      <c r="S3">
        <v>15.308588588766984</v>
      </c>
      <c r="T3">
        <v>24.511088588766984</v>
      </c>
      <c r="U3">
        <v>329815318.98992473</v>
      </c>
      <c r="V3">
        <v>329815328.19242471</v>
      </c>
    </row>
    <row r="4" spans="1:22" x14ac:dyDescent="0.25">
      <c r="A4">
        <v>2.5076038561002049E-2</v>
      </c>
      <c r="B4">
        <v>0.29650023573040307</v>
      </c>
      <c r="C4">
        <v>7.8571426868438744E-3</v>
      </c>
      <c r="D4">
        <v>8.3867207717398369</v>
      </c>
      <c r="E4">
        <v>32.811103858699184</v>
      </c>
      <c r="F4">
        <v>-181.3309612803782</v>
      </c>
      <c r="H4" s="38"/>
      <c r="I4" s="36">
        <v>4.1666666666666699E-2</v>
      </c>
      <c r="J4" s="37">
        <v>3.6225000000000001</v>
      </c>
      <c r="K4" s="34">
        <v>1.271198922744454</v>
      </c>
      <c r="L4">
        <v>8.1223978454889085</v>
      </c>
      <c r="M4">
        <v>3.8462182255288528</v>
      </c>
      <c r="N4">
        <v>13.272436451057706</v>
      </c>
      <c r="O4">
        <v>8.3867207717398369</v>
      </c>
      <c r="P4">
        <v>22.353441543479672</v>
      </c>
      <c r="Q4">
        <v>329815318.98992473</v>
      </c>
      <c r="R4">
        <v>659630643.5598495</v>
      </c>
      <c r="S4">
        <v>15.308588588766984</v>
      </c>
      <c r="T4">
        <v>36.197177177533966</v>
      </c>
      <c r="U4">
        <v>329815318.98992473</v>
      </c>
      <c r="V4">
        <v>659630643.5598495</v>
      </c>
    </row>
    <row r="5" spans="1:22" x14ac:dyDescent="0.25">
      <c r="A5">
        <v>5.3131439751467639E-3</v>
      </c>
      <c r="B5">
        <v>18.218965301210194</v>
      </c>
      <c r="C5">
        <v>5028.5713195800781</v>
      </c>
      <c r="D5">
        <v>329815318.98992473</v>
      </c>
      <c r="E5">
        <v>55408972121.12886</v>
      </c>
      <c r="F5">
        <v>13</v>
      </c>
      <c r="H5" s="38"/>
      <c r="I5" s="36">
        <v>8.3333333333333301E-2</v>
      </c>
      <c r="J5" s="37">
        <v>3.4950000000000001</v>
      </c>
      <c r="K5" s="34">
        <v>1.271198922744454</v>
      </c>
      <c r="L5">
        <v>5.8985967682333627</v>
      </c>
      <c r="M5">
        <v>3.8462182255288528</v>
      </c>
      <c r="N5">
        <v>13.623654676586558</v>
      </c>
      <c r="O5">
        <v>8.3867207717398369</v>
      </c>
      <c r="P5">
        <v>27.24516231521951</v>
      </c>
      <c r="Q5">
        <v>329815318.98992473</v>
      </c>
      <c r="R5">
        <v>989445959.05477428</v>
      </c>
      <c r="S5">
        <v>15.308588588766984</v>
      </c>
      <c r="T5">
        <v>48.010765766300949</v>
      </c>
      <c r="U5">
        <v>329815318.98992473</v>
      </c>
      <c r="V5">
        <v>989445959.05477428</v>
      </c>
    </row>
    <row r="6" spans="1:22" x14ac:dyDescent="0.25">
      <c r="A6">
        <v>2.296799358521355E-2</v>
      </c>
      <c r="B6">
        <v>0.34637615335434985</v>
      </c>
      <c r="C6">
        <v>1.227678544819355E-2</v>
      </c>
      <c r="D6">
        <v>15.308588588766984</v>
      </c>
      <c r="E6">
        <v>1102.6643778135519</v>
      </c>
      <c r="F6">
        <v>13</v>
      </c>
      <c r="H6" s="38"/>
      <c r="I6" s="36">
        <v>0.125</v>
      </c>
      <c r="J6" s="37">
        <v>3.4075000000000002</v>
      </c>
      <c r="K6" s="34">
        <v>1.271198922744454</v>
      </c>
      <c r="L6">
        <v>3.7622956909778162</v>
      </c>
      <c r="M6">
        <v>3.8462182255288528</v>
      </c>
      <c r="N6">
        <v>14.06237290211541</v>
      </c>
      <c r="O6">
        <v>8.3867207717398369</v>
      </c>
      <c r="P6">
        <v>32.224383086959349</v>
      </c>
      <c r="Q6">
        <v>329815318.98992473</v>
      </c>
      <c r="R6">
        <v>1319261274.6371989</v>
      </c>
      <c r="S6">
        <v>15.308588588766984</v>
      </c>
      <c r="T6">
        <v>59.911854355067931</v>
      </c>
      <c r="U6">
        <v>329815318.98992473</v>
      </c>
      <c r="V6">
        <v>1319261274.6371989</v>
      </c>
    </row>
    <row r="7" spans="1:22" x14ac:dyDescent="0.25">
      <c r="A7">
        <v>5.3131439751467639E-3</v>
      </c>
      <c r="B7">
        <v>18.218965301210194</v>
      </c>
      <c r="C7">
        <v>5028.5713195800781</v>
      </c>
      <c r="D7">
        <v>329815318.98992473</v>
      </c>
      <c r="E7">
        <v>55408972121.12886</v>
      </c>
      <c r="F7">
        <v>13</v>
      </c>
      <c r="H7" s="38"/>
      <c r="I7" s="36">
        <v>0.16666666666666699</v>
      </c>
      <c r="J7" s="37">
        <v>7.8</v>
      </c>
      <c r="K7" s="34">
        <v>1.271198922744454</v>
      </c>
      <c r="L7">
        <v>-2.7665053862777294</v>
      </c>
      <c r="M7">
        <v>3.8462182255288528</v>
      </c>
      <c r="N7">
        <v>10.108591127644264</v>
      </c>
      <c r="O7">
        <v>8.3867207717398369</v>
      </c>
      <c r="P7">
        <v>32.811103858699184</v>
      </c>
      <c r="Q7">
        <v>329815318.98992473</v>
      </c>
      <c r="R7">
        <v>1649076585.8271236</v>
      </c>
      <c r="S7">
        <v>15.308588588766984</v>
      </c>
      <c r="T7">
        <v>67.420442943834914</v>
      </c>
      <c r="U7">
        <v>329815318.98992473</v>
      </c>
      <c r="V7">
        <v>1649076585.8271236</v>
      </c>
    </row>
    <row r="8" spans="1:22" x14ac:dyDescent="0.25">
      <c r="H8" s="38"/>
      <c r="I8" s="36">
        <v>0.20833333333333301</v>
      </c>
      <c r="J8" s="37">
        <v>18.71</v>
      </c>
      <c r="K8" s="34">
        <v>1.271198922744454</v>
      </c>
      <c r="L8">
        <v>-20.205306463533276</v>
      </c>
      <c r="M8">
        <v>3.8462182255288528</v>
      </c>
      <c r="N8">
        <v>-4.7551906468268843</v>
      </c>
      <c r="O8">
        <v>8.3867207717398369</v>
      </c>
      <c r="P8">
        <v>22.487824630439022</v>
      </c>
      <c r="Q8">
        <v>329815318.98992473</v>
      </c>
      <c r="R8">
        <v>1978891886.1070483</v>
      </c>
      <c r="S8">
        <v>15.308588588766984</v>
      </c>
      <c r="T8">
        <v>64.0190315326019</v>
      </c>
      <c r="U8">
        <v>329815318.98992473</v>
      </c>
      <c r="V8">
        <v>1978891886.1070483</v>
      </c>
    </row>
    <row r="9" spans="1:22" x14ac:dyDescent="0.25">
      <c r="H9" s="38"/>
      <c r="I9" s="36">
        <v>0.25</v>
      </c>
      <c r="J9" s="37">
        <v>18.64</v>
      </c>
      <c r="K9" s="34">
        <v>1.271198922744454</v>
      </c>
      <c r="L9">
        <v>-37.574107540788823</v>
      </c>
      <c r="M9">
        <v>3.8462182255288528</v>
      </c>
      <c r="N9">
        <v>-19.548972421298032</v>
      </c>
      <c r="O9">
        <v>8.3867207717398369</v>
      </c>
      <c r="P9">
        <v>12.234545402178858</v>
      </c>
      <c r="Q9">
        <v>329815318.98992473</v>
      </c>
      <c r="R9">
        <v>2308707186.4569731</v>
      </c>
      <c r="S9">
        <v>15.308588588766984</v>
      </c>
      <c r="T9">
        <v>60.68762012136888</v>
      </c>
      <c r="U9">
        <v>329815318.98992473</v>
      </c>
      <c r="V9">
        <v>2308707186.4569731</v>
      </c>
    </row>
    <row r="10" spans="1:22" x14ac:dyDescent="0.25">
      <c r="H10" s="38"/>
      <c r="I10" s="36">
        <v>0.29166666666666702</v>
      </c>
      <c r="J10" s="37">
        <v>16.32</v>
      </c>
      <c r="K10" s="34">
        <v>1.271198922744454</v>
      </c>
      <c r="L10">
        <v>-52.62290861804437</v>
      </c>
      <c r="M10">
        <v>3.8462182255288528</v>
      </c>
      <c r="N10">
        <v>-32.022754195769181</v>
      </c>
      <c r="O10">
        <v>8.3867207717398369</v>
      </c>
      <c r="P10">
        <v>4.3012661739186946</v>
      </c>
      <c r="Q10">
        <v>329815318.98992473</v>
      </c>
      <c r="R10">
        <v>2638522489.1268978</v>
      </c>
      <c r="S10">
        <v>15.308588588766984</v>
      </c>
      <c r="T10">
        <v>59.676208710135867</v>
      </c>
      <c r="U10">
        <v>329815318.98992473</v>
      </c>
      <c r="V10">
        <v>2638522489.1268978</v>
      </c>
    </row>
    <row r="11" spans="1:22" x14ac:dyDescent="0.25">
      <c r="H11" s="38"/>
      <c r="I11" s="36">
        <v>0.33333333333333298</v>
      </c>
      <c r="J11" s="37">
        <v>13.89</v>
      </c>
      <c r="K11" s="34">
        <v>1.271198922744454</v>
      </c>
      <c r="L11">
        <v>-65.241709695299917</v>
      </c>
      <c r="M11">
        <v>3.8462182255288528</v>
      </c>
      <c r="N11">
        <v>-42.066535970240331</v>
      </c>
      <c r="O11">
        <v>8.3867207717398369</v>
      </c>
      <c r="P11">
        <v>-1.2020130543414691</v>
      </c>
      <c r="Q11">
        <v>329815318.98992473</v>
      </c>
      <c r="R11">
        <v>2968337794.2268224</v>
      </c>
      <c r="S11">
        <v>15.308588588766984</v>
      </c>
      <c r="T11">
        <v>61.094797298902847</v>
      </c>
      <c r="U11">
        <v>329815318.98992473</v>
      </c>
      <c r="V11">
        <v>2968337794.2268224</v>
      </c>
    </row>
    <row r="12" spans="1:22" x14ac:dyDescent="0.25">
      <c r="H12" s="38"/>
      <c r="I12" s="36">
        <v>0.375</v>
      </c>
      <c r="J12" s="37">
        <v>13.08</v>
      </c>
      <c r="K12" s="34">
        <v>1.271198922744454</v>
      </c>
      <c r="L12">
        <v>-77.050510772555469</v>
      </c>
      <c r="M12">
        <v>3.8462182255288528</v>
      </c>
      <c r="N12">
        <v>-51.300317744711478</v>
      </c>
      <c r="O12">
        <v>8.3867207717398369</v>
      </c>
      <c r="P12">
        <v>-5.8952922826016323</v>
      </c>
      <c r="Q12">
        <v>329815318.98992473</v>
      </c>
      <c r="R12">
        <v>3298153100.1367469</v>
      </c>
      <c r="S12">
        <v>15.308588588766984</v>
      </c>
      <c r="T12">
        <v>63.323385887669829</v>
      </c>
      <c r="U12">
        <v>329815318.98992473</v>
      </c>
      <c r="V12">
        <v>3298153100.1367469</v>
      </c>
    </row>
    <row r="13" spans="1:22" x14ac:dyDescent="0.25">
      <c r="H13" s="38"/>
      <c r="I13" s="36">
        <v>0.41666666666666702</v>
      </c>
      <c r="J13" s="37">
        <v>9.3125</v>
      </c>
      <c r="K13" s="34">
        <v>1.271198922744454</v>
      </c>
      <c r="L13">
        <v>-85.091811849811009</v>
      </c>
      <c r="M13">
        <v>3.8462182255288528</v>
      </c>
      <c r="N13">
        <v>-56.766599519182627</v>
      </c>
      <c r="O13">
        <v>8.3867207717398369</v>
      </c>
      <c r="P13">
        <v>-6.8210715108617954</v>
      </c>
      <c r="Q13">
        <v>329815318.98992473</v>
      </c>
      <c r="R13">
        <v>3627968409.8141718</v>
      </c>
      <c r="S13">
        <v>15.308588588766984</v>
      </c>
      <c r="T13">
        <v>69.31947447643681</v>
      </c>
      <c r="U13">
        <v>329815318.98992473</v>
      </c>
      <c r="V13">
        <v>3627968409.8141718</v>
      </c>
    </row>
    <row r="14" spans="1:22" x14ac:dyDescent="0.25">
      <c r="H14" s="38"/>
      <c r="I14" s="36">
        <v>0.45833333333333298</v>
      </c>
      <c r="J14" s="37">
        <v>9.6374999999999993</v>
      </c>
      <c r="K14" s="34">
        <v>1.271198922744454</v>
      </c>
      <c r="L14">
        <v>-93.458112927066551</v>
      </c>
      <c r="M14">
        <v>3.8462182255288528</v>
      </c>
      <c r="N14">
        <v>-62.557881293653772</v>
      </c>
      <c r="O14">
        <v>8.3867207717398369</v>
      </c>
      <c r="P14">
        <v>-8.0718507391219578</v>
      </c>
      <c r="Q14">
        <v>329815318.98992473</v>
      </c>
      <c r="R14">
        <v>3957783719.1665964</v>
      </c>
      <c r="S14">
        <v>15.308588588766984</v>
      </c>
      <c r="T14">
        <v>74.990563065203787</v>
      </c>
      <c r="U14">
        <v>329815318.98992473</v>
      </c>
      <c r="V14">
        <v>3957783719.1665964</v>
      </c>
    </row>
    <row r="15" spans="1:22" x14ac:dyDescent="0.25">
      <c r="H15" s="38"/>
      <c r="I15" s="36">
        <v>0.5</v>
      </c>
      <c r="J15" s="37">
        <v>11.583333333333334</v>
      </c>
      <c r="K15" s="34">
        <v>1.271198922744454</v>
      </c>
      <c r="L15">
        <v>-103.77024733765543</v>
      </c>
      <c r="M15">
        <v>3.8462182255288528</v>
      </c>
      <c r="N15">
        <v>-70.294996401458249</v>
      </c>
      <c r="O15">
        <v>8.3867207717398369</v>
      </c>
      <c r="P15">
        <v>-11.268463300715455</v>
      </c>
      <c r="Q15">
        <v>329815318.98992473</v>
      </c>
      <c r="R15">
        <v>4287599026.5731878</v>
      </c>
      <c r="S15">
        <v>15.308588588766984</v>
      </c>
      <c r="T15">
        <v>78.715818320637439</v>
      </c>
      <c r="U15">
        <v>329815318.98992473</v>
      </c>
      <c r="V15">
        <v>4287599026.5731878</v>
      </c>
    </row>
    <row r="16" spans="1:22" x14ac:dyDescent="0.25">
      <c r="H16" s="38"/>
      <c r="I16" s="36">
        <v>0.54166666666666696</v>
      </c>
      <c r="J16" s="37">
        <v>13.233333333333334</v>
      </c>
      <c r="K16" s="34">
        <v>1.271198922744454</v>
      </c>
      <c r="L16">
        <v>-115.73238174824431</v>
      </c>
      <c r="M16">
        <v>3.8462182255288528</v>
      </c>
      <c r="N16">
        <v>-79.682111509262725</v>
      </c>
      <c r="O16">
        <v>8.3867207717398369</v>
      </c>
      <c r="P16">
        <v>-16.115075862308952</v>
      </c>
      <c r="Q16">
        <v>329815318.98992473</v>
      </c>
      <c r="R16">
        <v>4617414332.3297796</v>
      </c>
      <c r="S16">
        <v>15.308588588766984</v>
      </c>
      <c r="T16">
        <v>80.791073576071085</v>
      </c>
      <c r="U16">
        <v>329815318.98992473</v>
      </c>
      <c r="V16">
        <v>4617414332.3297796</v>
      </c>
    </row>
    <row r="17" spans="8:22" x14ac:dyDescent="0.25">
      <c r="H17" s="38"/>
      <c r="I17" s="36">
        <v>0.58333333333333304</v>
      </c>
      <c r="J17" s="37">
        <v>8.83</v>
      </c>
      <c r="K17" s="34">
        <v>1.271198922744454</v>
      </c>
      <c r="L17">
        <v>-123.29118282549986</v>
      </c>
      <c r="M17">
        <v>3.8462182255288528</v>
      </c>
      <c r="N17">
        <v>-84.66589328373388</v>
      </c>
      <c r="O17">
        <v>8.3867207717398369</v>
      </c>
      <c r="P17">
        <v>-16.558355090569115</v>
      </c>
      <c r="Q17">
        <v>329815318.98992473</v>
      </c>
      <c r="R17">
        <v>4947229642.4897041</v>
      </c>
      <c r="S17">
        <v>15.308588588766984</v>
      </c>
      <c r="T17">
        <v>87.269662164838067</v>
      </c>
      <c r="U17">
        <v>329815318.98992473</v>
      </c>
      <c r="V17">
        <v>4947229642.4897041</v>
      </c>
    </row>
    <row r="18" spans="8:22" x14ac:dyDescent="0.25">
      <c r="H18" s="38"/>
      <c r="I18" s="36">
        <v>0.625</v>
      </c>
      <c r="J18" s="37">
        <v>7.2850000000000001</v>
      </c>
      <c r="K18" s="34">
        <v>1.271198922744454</v>
      </c>
      <c r="L18">
        <v>-129.3049839027554</v>
      </c>
      <c r="M18">
        <v>3.8462182255288528</v>
      </c>
      <c r="N18">
        <v>-88.104675058205032</v>
      </c>
      <c r="O18">
        <v>8.3867207717398369</v>
      </c>
      <c r="P18">
        <v>-15.456634318829279</v>
      </c>
      <c r="Q18">
        <v>329815318.98992473</v>
      </c>
      <c r="R18">
        <v>5277044954.1946287</v>
      </c>
      <c r="S18">
        <v>15.308588588766984</v>
      </c>
      <c r="T18">
        <v>95.293250753605051</v>
      </c>
      <c r="U18">
        <v>329815318.98992473</v>
      </c>
      <c r="V18">
        <v>5277044954.1946287</v>
      </c>
    </row>
    <row r="19" spans="8:22" x14ac:dyDescent="0.25">
      <c r="H19" s="38"/>
      <c r="I19" s="36">
        <v>0.66666666666666696</v>
      </c>
      <c r="J19" s="37">
        <v>6.53</v>
      </c>
      <c r="K19" s="34">
        <v>1.271198922744454</v>
      </c>
      <c r="L19">
        <v>-134.56378498001095</v>
      </c>
      <c r="M19">
        <v>3.8462182255288528</v>
      </c>
      <c r="N19">
        <v>-90.788456832676175</v>
      </c>
      <c r="O19">
        <v>8.3867207717398369</v>
      </c>
      <c r="P19">
        <v>-13.599913547089443</v>
      </c>
      <c r="Q19">
        <v>329815318.98992473</v>
      </c>
      <c r="R19">
        <v>5606860266.6545534</v>
      </c>
      <c r="S19">
        <v>15.308588588766984</v>
      </c>
      <c r="T19">
        <v>104.07183934237203</v>
      </c>
      <c r="U19">
        <v>329815318.98992473</v>
      </c>
      <c r="V19">
        <v>5606860266.6545534</v>
      </c>
    </row>
    <row r="20" spans="8:22" x14ac:dyDescent="0.25">
      <c r="H20" s="38"/>
      <c r="I20" s="36">
        <v>0.70833333333333304</v>
      </c>
      <c r="J20" s="37">
        <v>15.58</v>
      </c>
      <c r="K20" s="34">
        <v>1.271198922744454</v>
      </c>
      <c r="L20">
        <v>-148.87258605726649</v>
      </c>
      <c r="M20">
        <v>3.8462182255288528</v>
      </c>
      <c r="N20">
        <v>-102.52223860714733</v>
      </c>
      <c r="O20">
        <v>8.3867207717398369</v>
      </c>
      <c r="P20">
        <v>-20.793192775349606</v>
      </c>
      <c r="Q20">
        <v>329815318.98992473</v>
      </c>
      <c r="R20">
        <v>5936675570.0644779</v>
      </c>
      <c r="S20">
        <v>15.308588588766984</v>
      </c>
      <c r="T20">
        <v>103.80042793113901</v>
      </c>
      <c r="U20">
        <v>329815318.98992473</v>
      </c>
      <c r="V20">
        <v>5936675570.0644779</v>
      </c>
    </row>
    <row r="21" spans="8:22" x14ac:dyDescent="0.25">
      <c r="H21" s="38"/>
      <c r="I21" s="36">
        <v>0.75</v>
      </c>
      <c r="J21" s="37">
        <v>13.25</v>
      </c>
      <c r="K21" s="34">
        <v>1.271198922744454</v>
      </c>
      <c r="L21">
        <v>-160.85138713452204</v>
      </c>
      <c r="M21">
        <v>3.8462182255288528</v>
      </c>
      <c r="N21">
        <v>-111.92602038161847</v>
      </c>
      <c r="O21">
        <v>8.3867207717398369</v>
      </c>
      <c r="P21">
        <v>-25.656472003609771</v>
      </c>
      <c r="Q21">
        <v>329815318.98992473</v>
      </c>
      <c r="R21">
        <v>6266490875.8044024</v>
      </c>
      <c r="S21">
        <v>15.308588588766984</v>
      </c>
      <c r="T21">
        <v>105.85901651990599</v>
      </c>
      <c r="U21">
        <v>329815318.98992473</v>
      </c>
      <c r="V21">
        <v>6266490875.8044024</v>
      </c>
    </row>
    <row r="22" spans="8:22" x14ac:dyDescent="0.25">
      <c r="H22" s="38"/>
      <c r="I22" s="36">
        <v>0.79166666666666696</v>
      </c>
      <c r="J22" s="37">
        <v>14.42</v>
      </c>
      <c r="K22" s="34">
        <v>1.271198922744454</v>
      </c>
      <c r="L22">
        <v>-174.00018821177758</v>
      </c>
      <c r="M22">
        <v>3.8462182255288528</v>
      </c>
      <c r="N22">
        <v>-122.49980215608961</v>
      </c>
      <c r="O22">
        <v>8.3867207717398369</v>
      </c>
      <c r="P22">
        <v>-31.689751231869934</v>
      </c>
      <c r="Q22">
        <v>329815318.98992473</v>
      </c>
      <c r="R22">
        <v>6596306180.3743267</v>
      </c>
      <c r="S22">
        <v>15.308588588766984</v>
      </c>
      <c r="T22">
        <v>106.74760510867297</v>
      </c>
      <c r="U22">
        <v>329815318.98992473</v>
      </c>
      <c r="V22">
        <v>6596306180.3743267</v>
      </c>
    </row>
    <row r="23" spans="8:22" x14ac:dyDescent="0.25">
      <c r="H23" s="38"/>
      <c r="I23" s="36">
        <v>0.83333333333333304</v>
      </c>
      <c r="J23" s="37">
        <v>15.18</v>
      </c>
      <c r="K23" s="34">
        <v>1.271198922744454</v>
      </c>
      <c r="L23">
        <v>-187.90898928903312</v>
      </c>
      <c r="M23">
        <v>3.8462182255288528</v>
      </c>
      <c r="N23">
        <v>-133.83358393056076</v>
      </c>
      <c r="O23">
        <v>8.3867207717398369</v>
      </c>
      <c r="P23">
        <v>-38.483030460130095</v>
      </c>
      <c r="Q23">
        <v>329815318.98992473</v>
      </c>
      <c r="R23">
        <v>6926121484.1842518</v>
      </c>
      <c r="S23">
        <v>15.308588588766984</v>
      </c>
      <c r="T23">
        <v>106.87619369743996</v>
      </c>
      <c r="U23">
        <v>329815318.98992473</v>
      </c>
      <c r="V23">
        <v>6926121484.1842518</v>
      </c>
    </row>
    <row r="24" spans="8:22" x14ac:dyDescent="0.25">
      <c r="H24" s="38"/>
      <c r="I24" s="36">
        <v>0.875</v>
      </c>
      <c r="J24" s="37">
        <v>6.585</v>
      </c>
      <c r="K24" s="34">
        <v>1.271198922744454</v>
      </c>
      <c r="L24">
        <v>-193.22279036628865</v>
      </c>
      <c r="M24">
        <v>3.8462182255288528</v>
      </c>
      <c r="N24">
        <v>-136.5723657050319</v>
      </c>
      <c r="O24">
        <v>8.3867207717398369</v>
      </c>
      <c r="P24">
        <v>-36.681309688390257</v>
      </c>
      <c r="Q24">
        <v>329815318.98992473</v>
      </c>
      <c r="R24">
        <v>7255936796.5891762</v>
      </c>
      <c r="S24">
        <v>15.308588588766984</v>
      </c>
      <c r="T24">
        <v>115.59978228620695</v>
      </c>
      <c r="U24">
        <v>329815318.98992473</v>
      </c>
      <c r="V24">
        <v>7255936796.5891762</v>
      </c>
    </row>
    <row r="25" spans="8:22" x14ac:dyDescent="0.25">
      <c r="H25" s="38"/>
      <c r="I25" s="36">
        <v>0.91666666666666696</v>
      </c>
      <c r="J25" s="37">
        <v>6.0549999999999997</v>
      </c>
      <c r="K25" s="34">
        <v>1.271198922744454</v>
      </c>
      <c r="L25">
        <v>-198.00659144354418</v>
      </c>
      <c r="M25">
        <v>3.8462182255288528</v>
      </c>
      <c r="N25">
        <v>-138.78114747950303</v>
      </c>
      <c r="O25">
        <v>8.3867207717398369</v>
      </c>
      <c r="P25">
        <v>-34.349588916650418</v>
      </c>
      <c r="Q25">
        <v>329815318.98992473</v>
      </c>
      <c r="R25">
        <v>7585752109.5241013</v>
      </c>
      <c r="S25">
        <v>15.308588588766984</v>
      </c>
      <c r="T25">
        <v>124.85337087497393</v>
      </c>
      <c r="U25">
        <v>329815318.98992473</v>
      </c>
      <c r="V25">
        <v>7585752109.5241013</v>
      </c>
    </row>
    <row r="26" spans="8:22" x14ac:dyDescent="0.25">
      <c r="H26" s="34"/>
      <c r="I26" s="36">
        <v>0.95833333333333304</v>
      </c>
      <c r="J26" s="37">
        <v>5.585</v>
      </c>
      <c r="K26" s="34">
        <v>1.271198922744454</v>
      </c>
      <c r="L26">
        <v>-202.32039252079971</v>
      </c>
      <c r="M26">
        <v>3.8462182255288528</v>
      </c>
      <c r="N26">
        <v>-140.51992925397417</v>
      </c>
      <c r="O26">
        <v>8.3867207717398369</v>
      </c>
      <c r="P26">
        <v>-31.547868144910581</v>
      </c>
      <c r="Q26">
        <v>329815318.98992473</v>
      </c>
      <c r="R26">
        <v>7915567422.9290257</v>
      </c>
      <c r="S26">
        <v>15.308588588766984</v>
      </c>
      <c r="T26">
        <v>134.57695946374091</v>
      </c>
      <c r="U26">
        <v>329815318.98992473</v>
      </c>
      <c r="V26">
        <v>7915567422.9290257</v>
      </c>
    </row>
    <row r="27" spans="8:22" x14ac:dyDescent="0.25">
      <c r="H27" s="35" t="s">
        <v>3</v>
      </c>
      <c r="I27" s="36">
        <v>0</v>
      </c>
      <c r="J27" s="37">
        <v>3.4224999999999999</v>
      </c>
      <c r="K27" s="34">
        <v>1.271198922744454</v>
      </c>
      <c r="L27">
        <v>-204.47169359805525</v>
      </c>
      <c r="M27">
        <v>3.8462182255288528</v>
      </c>
      <c r="N27">
        <v>-140.09621102844531</v>
      </c>
      <c r="O27">
        <v>8.3867207717398369</v>
      </c>
      <c r="P27">
        <v>-26.583647373170745</v>
      </c>
      <c r="Q27">
        <v>329815318.98992473</v>
      </c>
      <c r="R27">
        <v>8245382738.4964504</v>
      </c>
      <c r="S27">
        <v>15.308588588766984</v>
      </c>
      <c r="T27">
        <v>146.4630480525079</v>
      </c>
      <c r="U27">
        <v>329815318.98992473</v>
      </c>
      <c r="V27">
        <v>8245382738.4964504</v>
      </c>
    </row>
    <row r="28" spans="8:22" x14ac:dyDescent="0.25">
      <c r="H28" s="38"/>
      <c r="I28" s="36">
        <v>4.1666666666666699E-2</v>
      </c>
      <c r="J28" s="37">
        <v>2.8450000000000002</v>
      </c>
      <c r="K28" s="34">
        <v>1.271198922744454</v>
      </c>
      <c r="L28">
        <v>-206.04549467531081</v>
      </c>
      <c r="M28">
        <v>3.8462182255288528</v>
      </c>
      <c r="N28">
        <v>-139.09499280291647</v>
      </c>
      <c r="O28">
        <v>8.3867207717398369</v>
      </c>
      <c r="P28">
        <v>-21.041926601430909</v>
      </c>
      <c r="Q28">
        <v>329815318.98992473</v>
      </c>
      <c r="R28">
        <v>8575198054.6413755</v>
      </c>
      <c r="S28">
        <v>15.308588588766984</v>
      </c>
      <c r="T28">
        <v>158.92663664127488</v>
      </c>
      <c r="U28">
        <v>329815318.98992473</v>
      </c>
      <c r="V28">
        <v>8575198054.6413755</v>
      </c>
    </row>
    <row r="29" spans="8:22" x14ac:dyDescent="0.25">
      <c r="H29" s="38"/>
      <c r="I29" s="36">
        <v>8.3333333333333301E-2</v>
      </c>
      <c r="J29" s="37">
        <v>2.8725000000000001</v>
      </c>
      <c r="K29" s="34">
        <v>1.271198922744454</v>
      </c>
      <c r="L29">
        <v>-207.64679575256636</v>
      </c>
      <c r="M29">
        <v>3.8462182255288528</v>
      </c>
      <c r="N29">
        <v>-138.12127457738762</v>
      </c>
      <c r="O29">
        <v>8.3867207717398369</v>
      </c>
      <c r="P29">
        <v>-15.527705829691072</v>
      </c>
      <c r="Q29">
        <v>329815318.98992473</v>
      </c>
      <c r="R29">
        <v>8905013370.7588005</v>
      </c>
      <c r="S29">
        <v>15.308588588766984</v>
      </c>
      <c r="T29">
        <v>171.36272523004186</v>
      </c>
      <c r="U29">
        <v>329815318.98992473</v>
      </c>
      <c r="V29">
        <v>8905013370.7588005</v>
      </c>
    </row>
    <row r="30" spans="8:22" x14ac:dyDescent="0.25">
      <c r="H30" s="38"/>
      <c r="I30" s="36">
        <v>0.125</v>
      </c>
      <c r="J30" s="37">
        <v>2.9925000000000002</v>
      </c>
      <c r="K30" s="34">
        <v>1.271198922744454</v>
      </c>
      <c r="L30">
        <v>-209.36809682982189</v>
      </c>
      <c r="M30">
        <v>3.8462182255288528</v>
      </c>
      <c r="N30">
        <v>-137.26755635185876</v>
      </c>
      <c r="O30">
        <v>8.3867207717398369</v>
      </c>
      <c r="P30">
        <v>-10.133485057951235</v>
      </c>
      <c r="Q30">
        <v>329815318.98992473</v>
      </c>
      <c r="R30">
        <v>9234828686.7562256</v>
      </c>
      <c r="S30">
        <v>15.308588588766984</v>
      </c>
      <c r="T30">
        <v>183.67881381880883</v>
      </c>
      <c r="U30">
        <v>329815318.98992473</v>
      </c>
      <c r="V30">
        <v>9234828686.7562256</v>
      </c>
    </row>
    <row r="31" spans="8:22" x14ac:dyDescent="0.25">
      <c r="H31" s="38"/>
      <c r="I31" s="36">
        <v>0.16666666666666699</v>
      </c>
      <c r="J31" s="37">
        <v>6.95</v>
      </c>
      <c r="K31" s="34">
        <v>1.271198922744454</v>
      </c>
      <c r="L31">
        <v>-215.04689790707744</v>
      </c>
      <c r="M31">
        <v>3.8462182255288528</v>
      </c>
      <c r="N31">
        <v>-140.3713381263299</v>
      </c>
      <c r="O31">
        <v>8.3867207717398369</v>
      </c>
      <c r="P31">
        <v>-8.6967642862113976</v>
      </c>
      <c r="Q31">
        <v>329815318.98992473</v>
      </c>
      <c r="R31">
        <v>9564643998.7961502</v>
      </c>
      <c r="S31">
        <v>15.308588588766984</v>
      </c>
      <c r="T31">
        <v>192.03740240757583</v>
      </c>
      <c r="U31">
        <v>329815318.98992473</v>
      </c>
      <c r="V31">
        <v>9564643998.7961502</v>
      </c>
    </row>
    <row r="32" spans="8:22" x14ac:dyDescent="0.25">
      <c r="H32" s="38"/>
      <c r="I32" s="36">
        <v>0.20833333333333301</v>
      </c>
      <c r="J32" s="37">
        <v>20.76</v>
      </c>
      <c r="K32" s="34">
        <v>1.271198922744454</v>
      </c>
      <c r="L32">
        <v>-234.53569898433298</v>
      </c>
      <c r="M32">
        <v>3.8462182255288528</v>
      </c>
      <c r="N32">
        <v>-157.28511990080105</v>
      </c>
      <c r="O32">
        <v>8.3867207717398369</v>
      </c>
      <c r="P32">
        <v>-21.070043514471564</v>
      </c>
      <c r="Q32">
        <v>329815318.98992473</v>
      </c>
      <c r="R32">
        <v>9894459297.0260754</v>
      </c>
      <c r="S32">
        <v>15.308588588766984</v>
      </c>
      <c r="T32">
        <v>186.58599099634282</v>
      </c>
      <c r="U32">
        <v>329815318.98992473</v>
      </c>
      <c r="V32">
        <v>9894459297.0260754</v>
      </c>
    </row>
    <row r="33" spans="8:22" x14ac:dyDescent="0.25">
      <c r="H33" s="38"/>
      <c r="I33" s="36">
        <v>0.25</v>
      </c>
      <c r="J33" s="37">
        <v>21.22</v>
      </c>
      <c r="K33" s="34">
        <v>1.271198922744454</v>
      </c>
      <c r="L33">
        <v>-254.48450006158853</v>
      </c>
      <c r="M33">
        <v>3.8462182255288528</v>
      </c>
      <c r="N33">
        <v>-174.6589016752722</v>
      </c>
      <c r="O33">
        <v>8.3867207717398369</v>
      </c>
      <c r="P33">
        <v>-33.903322742731724</v>
      </c>
      <c r="Q33">
        <v>329815318.98992473</v>
      </c>
      <c r="R33">
        <v>10224274594.796</v>
      </c>
      <c r="S33">
        <v>15.308588588766984</v>
      </c>
      <c r="T33">
        <v>180.6745795851098</v>
      </c>
      <c r="U33">
        <v>329815318.98992473</v>
      </c>
      <c r="V33">
        <v>10224274594.796</v>
      </c>
    </row>
    <row r="34" spans="8:22" x14ac:dyDescent="0.25">
      <c r="H34" s="38"/>
      <c r="I34" s="36">
        <v>0.29166666666666702</v>
      </c>
      <c r="J34" s="37">
        <v>19.350000000000001</v>
      </c>
      <c r="K34" s="34">
        <v>1.271198922744454</v>
      </c>
      <c r="L34">
        <v>-272.56330113884405</v>
      </c>
      <c r="M34">
        <v>3.8462182255288528</v>
      </c>
      <c r="N34">
        <v>-190.16268344974335</v>
      </c>
      <c r="O34">
        <v>8.3867207717398369</v>
      </c>
      <c r="P34">
        <v>-44.866601970991887</v>
      </c>
      <c r="Q34">
        <v>329815318.98992473</v>
      </c>
      <c r="R34">
        <v>10554089894.435925</v>
      </c>
      <c r="S34">
        <v>15.308588588766984</v>
      </c>
      <c r="T34">
        <v>176.63316817387678</v>
      </c>
      <c r="U34">
        <v>329815318.98992473</v>
      </c>
      <c r="V34">
        <v>10554089894.435925</v>
      </c>
    </row>
    <row r="35" spans="8:22" x14ac:dyDescent="0.25">
      <c r="H35" s="38"/>
      <c r="I35" s="36">
        <v>0.33333333333333298</v>
      </c>
      <c r="J35" s="37">
        <v>13.79</v>
      </c>
      <c r="K35" s="34">
        <v>1.271198922744454</v>
      </c>
      <c r="L35">
        <v>-285.0821022160996</v>
      </c>
      <c r="M35">
        <v>3.8462182255288528</v>
      </c>
      <c r="N35">
        <v>-200.1064652242145</v>
      </c>
      <c r="O35">
        <v>8.3867207717398369</v>
      </c>
      <c r="P35">
        <v>-50.269881199252048</v>
      </c>
      <c r="Q35">
        <v>329815318.98992473</v>
      </c>
      <c r="R35">
        <v>10883905199.635849</v>
      </c>
      <c r="S35">
        <v>15.308588588766984</v>
      </c>
      <c r="T35">
        <v>178.15175676264377</v>
      </c>
      <c r="U35">
        <v>329815318.98992473</v>
      </c>
      <c r="V35">
        <v>10883905199.635849</v>
      </c>
    </row>
    <row r="36" spans="8:22" x14ac:dyDescent="0.25">
      <c r="H36" s="38"/>
      <c r="I36" s="36">
        <v>0.375</v>
      </c>
      <c r="J36" s="37">
        <v>13.69</v>
      </c>
      <c r="K36" s="34">
        <v>1.271198922744454</v>
      </c>
      <c r="L36">
        <v>-297.50090329335512</v>
      </c>
      <c r="M36">
        <v>3.8462182255288528</v>
      </c>
      <c r="N36">
        <v>-209.95024699868566</v>
      </c>
      <c r="O36">
        <v>8.3867207717398369</v>
      </c>
      <c r="P36">
        <v>-55.573160427512207</v>
      </c>
      <c r="Q36">
        <v>329815318.98992473</v>
      </c>
      <c r="R36">
        <v>11213720504.935774</v>
      </c>
      <c r="S36">
        <v>15.308588588766984</v>
      </c>
      <c r="T36">
        <v>179.77034535141075</v>
      </c>
      <c r="U36">
        <v>329815318.98992473</v>
      </c>
      <c r="V36">
        <v>11213720504.935774</v>
      </c>
    </row>
    <row r="37" spans="8:22" x14ac:dyDescent="0.25">
      <c r="H37" s="38"/>
      <c r="I37" s="36">
        <v>0.41666666666666702</v>
      </c>
      <c r="J37" s="37">
        <v>9.3450000000000006</v>
      </c>
      <c r="K37" s="34">
        <v>1.271198922744454</v>
      </c>
      <c r="L37">
        <v>-305.57470437061068</v>
      </c>
      <c r="M37">
        <v>3.8462182255288528</v>
      </c>
      <c r="N37">
        <v>-215.44902877315681</v>
      </c>
      <c r="O37">
        <v>8.3867207717398369</v>
      </c>
      <c r="P37">
        <v>-56.531439655772374</v>
      </c>
      <c r="Q37">
        <v>329815318.98992473</v>
      </c>
      <c r="R37">
        <v>11543535814.580698</v>
      </c>
      <c r="S37">
        <v>15.308588588766984</v>
      </c>
      <c r="T37">
        <v>185.73393394017774</v>
      </c>
      <c r="U37">
        <v>329815318.98992473</v>
      </c>
      <c r="V37">
        <v>11543535814.580698</v>
      </c>
    </row>
    <row r="38" spans="8:22" x14ac:dyDescent="0.25">
      <c r="H38" s="38"/>
      <c r="I38" s="36">
        <v>0.45833333333333298</v>
      </c>
      <c r="J38" s="37">
        <v>8.3000000000000007</v>
      </c>
      <c r="K38" s="34">
        <v>1.271198922744454</v>
      </c>
      <c r="L38">
        <v>-312.60350544786621</v>
      </c>
      <c r="M38">
        <v>3.8462182255288528</v>
      </c>
      <c r="N38">
        <v>-219.90281054762795</v>
      </c>
      <c r="O38">
        <v>8.3867207717398369</v>
      </c>
      <c r="P38">
        <v>-56.44471888403254</v>
      </c>
      <c r="Q38">
        <v>329815318.98992473</v>
      </c>
      <c r="R38">
        <v>11873351125.270622</v>
      </c>
      <c r="S38">
        <v>15.308588588766984</v>
      </c>
      <c r="T38">
        <v>192.74252252894473</v>
      </c>
      <c r="U38">
        <v>329815318.98992473</v>
      </c>
      <c r="V38">
        <v>11873351125.270622</v>
      </c>
    </row>
    <row r="39" spans="8:22" x14ac:dyDescent="0.25">
      <c r="H39" s="38"/>
      <c r="I39" s="36">
        <v>0.5</v>
      </c>
      <c r="J39" s="37">
        <v>14.23</v>
      </c>
      <c r="K39" s="34">
        <v>1.271198922744454</v>
      </c>
      <c r="L39">
        <v>-325.56230652512176</v>
      </c>
      <c r="M39">
        <v>3.8462182255288528</v>
      </c>
      <c r="N39">
        <v>-230.2865923220991</v>
      </c>
      <c r="O39">
        <v>8.3867207717398369</v>
      </c>
      <c r="P39">
        <v>-62.287998112292705</v>
      </c>
      <c r="Q39">
        <v>329815318.98992473</v>
      </c>
      <c r="R39">
        <v>12203166430.030546</v>
      </c>
      <c r="S39">
        <v>15.308588588766984</v>
      </c>
      <c r="T39">
        <v>193.82111111771172</v>
      </c>
      <c r="U39">
        <v>329815318.98992473</v>
      </c>
      <c r="V39">
        <v>12203166430.030546</v>
      </c>
    </row>
    <row r="40" spans="8:22" x14ac:dyDescent="0.25">
      <c r="H40" s="38"/>
      <c r="I40" s="36">
        <v>0.54166666666666696</v>
      </c>
      <c r="J40" s="37">
        <v>11.37</v>
      </c>
      <c r="K40" s="34">
        <v>1.271198922744454</v>
      </c>
      <c r="L40">
        <v>-335.66110760237729</v>
      </c>
      <c r="M40">
        <v>3.8462182255288528</v>
      </c>
      <c r="N40">
        <v>-237.81037409657023</v>
      </c>
      <c r="O40">
        <v>8.3867207717398369</v>
      </c>
      <c r="P40">
        <v>-65.271277340552871</v>
      </c>
      <c r="Q40">
        <v>329815318.98992473</v>
      </c>
      <c r="R40">
        <v>12532981737.650471</v>
      </c>
      <c r="S40">
        <v>15.308588588766984</v>
      </c>
      <c r="T40">
        <v>197.7596997064787</v>
      </c>
      <c r="U40">
        <v>329815318.98992473</v>
      </c>
      <c r="V40">
        <v>12532981737.650471</v>
      </c>
    </row>
    <row r="41" spans="8:22" x14ac:dyDescent="0.25">
      <c r="H41" s="38"/>
      <c r="I41" s="36">
        <v>0.58333333333333304</v>
      </c>
      <c r="J41" s="37">
        <v>9.0299999999999994</v>
      </c>
      <c r="K41" s="34">
        <v>1.271198922744454</v>
      </c>
      <c r="L41">
        <v>-343.41990867963284</v>
      </c>
      <c r="M41">
        <v>3.8462182255288528</v>
      </c>
      <c r="N41">
        <v>-242.99415587104139</v>
      </c>
      <c r="O41">
        <v>8.3867207717398369</v>
      </c>
      <c r="P41">
        <v>-65.914556568813026</v>
      </c>
      <c r="Q41">
        <v>329815318.98992473</v>
      </c>
      <c r="R41">
        <v>12862797047.610395</v>
      </c>
      <c r="S41">
        <v>15.308588588766984</v>
      </c>
      <c r="T41">
        <v>204.03828829524568</v>
      </c>
      <c r="U41">
        <v>329815318.98992473</v>
      </c>
      <c r="V41">
        <v>12862797047.610395</v>
      </c>
    </row>
    <row r="42" spans="8:22" x14ac:dyDescent="0.25">
      <c r="H42" s="38"/>
      <c r="I42" s="36">
        <v>0.625</v>
      </c>
      <c r="J42" s="37">
        <v>7.76</v>
      </c>
      <c r="K42" s="34">
        <v>1.271198922744454</v>
      </c>
      <c r="L42">
        <v>-349.90870975688841</v>
      </c>
      <c r="M42">
        <v>3.8462182255288528</v>
      </c>
      <c r="N42">
        <v>-246.90793764551253</v>
      </c>
      <c r="O42">
        <v>8.3867207717398369</v>
      </c>
      <c r="P42">
        <v>-65.287835797073186</v>
      </c>
      <c r="Q42">
        <v>329815318.98992473</v>
      </c>
      <c r="R42">
        <v>13192612358.840321</v>
      </c>
      <c r="S42">
        <v>15.308588588766984</v>
      </c>
      <c r="T42">
        <v>211.58687688401267</v>
      </c>
      <c r="U42">
        <v>329815318.98992473</v>
      </c>
      <c r="V42">
        <v>13192612358.840321</v>
      </c>
    </row>
    <row r="43" spans="8:22" x14ac:dyDescent="0.25">
      <c r="H43" s="38"/>
      <c r="I43" s="36">
        <v>0.66666666666666696</v>
      </c>
      <c r="J43" s="37">
        <v>11.26</v>
      </c>
      <c r="K43" s="34">
        <v>1.271198922744454</v>
      </c>
      <c r="L43">
        <v>-359.89751083414399</v>
      </c>
      <c r="M43">
        <v>3.8462182255288528</v>
      </c>
      <c r="N43">
        <v>-254.32171941998368</v>
      </c>
      <c r="O43">
        <v>8.3867207717398369</v>
      </c>
      <c r="P43">
        <v>-68.161115025333345</v>
      </c>
      <c r="Q43">
        <v>329815318.98992473</v>
      </c>
      <c r="R43">
        <v>13522427666.570246</v>
      </c>
      <c r="S43">
        <v>15.308588588766984</v>
      </c>
      <c r="T43">
        <v>215.63546547277966</v>
      </c>
      <c r="U43">
        <v>329815318.98992473</v>
      </c>
      <c r="V43">
        <v>13522427666.570246</v>
      </c>
    </row>
    <row r="44" spans="8:22" x14ac:dyDescent="0.25">
      <c r="H44" s="38"/>
      <c r="I44" s="36">
        <v>0.70833333333333304</v>
      </c>
      <c r="J44" s="37">
        <v>15.76</v>
      </c>
      <c r="K44" s="34">
        <v>1.271198922744454</v>
      </c>
      <c r="L44">
        <v>-374.38631191139956</v>
      </c>
      <c r="M44">
        <v>3.8462182255288528</v>
      </c>
      <c r="N44">
        <v>-266.23550119445486</v>
      </c>
      <c r="O44">
        <v>8.3867207717398369</v>
      </c>
      <c r="P44">
        <v>-75.534394253593504</v>
      </c>
      <c r="Q44">
        <v>329815318.98992473</v>
      </c>
      <c r="R44">
        <v>13852242969.800171</v>
      </c>
      <c r="S44">
        <v>15.308588588766984</v>
      </c>
      <c r="T44">
        <v>215.18405406154665</v>
      </c>
      <c r="U44">
        <v>329815318.98992473</v>
      </c>
      <c r="V44">
        <v>13852242969.800171</v>
      </c>
    </row>
    <row r="45" spans="8:22" x14ac:dyDescent="0.25">
      <c r="H45" s="38"/>
      <c r="I45" s="36">
        <v>0.75</v>
      </c>
      <c r="J45" s="37">
        <v>13</v>
      </c>
      <c r="K45" s="34">
        <v>1.271198922744454</v>
      </c>
      <c r="L45">
        <v>-386.11511298865508</v>
      </c>
      <c r="M45">
        <v>3.8462182255288528</v>
      </c>
      <c r="N45">
        <v>-275.38928296892601</v>
      </c>
      <c r="O45">
        <v>8.3867207717398369</v>
      </c>
      <c r="P45">
        <v>-80.147673481853673</v>
      </c>
      <c r="Q45">
        <v>329815318.98992473</v>
      </c>
      <c r="R45">
        <v>14182058275.790096</v>
      </c>
      <c r="S45">
        <v>15.308588588766984</v>
      </c>
      <c r="T45">
        <v>217.49264265031363</v>
      </c>
      <c r="U45">
        <v>329815318.98992473</v>
      </c>
      <c r="V45">
        <v>14182058275.790096</v>
      </c>
    </row>
    <row r="46" spans="8:22" x14ac:dyDescent="0.25">
      <c r="H46" s="38"/>
      <c r="I46" s="36">
        <v>0.79166666666666696</v>
      </c>
      <c r="J46" s="37">
        <v>13.51</v>
      </c>
      <c r="K46" s="34">
        <v>1.271198922744454</v>
      </c>
      <c r="L46">
        <v>-398.35391406591066</v>
      </c>
      <c r="M46">
        <v>3.8462182255288528</v>
      </c>
      <c r="N46">
        <v>-285.05306474339716</v>
      </c>
      <c r="O46">
        <v>8.3867207717398369</v>
      </c>
      <c r="P46">
        <v>-85.270952710113832</v>
      </c>
      <c r="Q46">
        <v>329815318.98992473</v>
      </c>
      <c r="R46">
        <v>14511873581.270021</v>
      </c>
      <c r="S46">
        <v>15.308588588766984</v>
      </c>
      <c r="T46">
        <v>219.29123123908062</v>
      </c>
      <c r="U46">
        <v>329815318.98992473</v>
      </c>
      <c r="V46">
        <v>14511873581.270021</v>
      </c>
    </row>
    <row r="47" spans="8:22" x14ac:dyDescent="0.25">
      <c r="H47" s="38"/>
      <c r="I47" s="36">
        <v>0.83333333333333304</v>
      </c>
      <c r="J47" s="37">
        <v>14.36</v>
      </c>
      <c r="K47" s="34">
        <v>1.271198922744454</v>
      </c>
      <c r="L47">
        <v>-411.4427151431662</v>
      </c>
      <c r="M47">
        <v>3.8462182255288528</v>
      </c>
      <c r="N47">
        <v>-295.56684651786833</v>
      </c>
      <c r="O47">
        <v>8.3867207717398369</v>
      </c>
      <c r="P47">
        <v>-91.244231938374</v>
      </c>
      <c r="Q47">
        <v>329815318.98992473</v>
      </c>
      <c r="R47">
        <v>14841688885.899946</v>
      </c>
      <c r="S47">
        <v>15.308588588766984</v>
      </c>
      <c r="T47">
        <v>220.23981982784761</v>
      </c>
      <c r="U47">
        <v>329815318.98992473</v>
      </c>
      <c r="V47">
        <v>14841688885.899946</v>
      </c>
    </row>
    <row r="48" spans="8:22" x14ac:dyDescent="0.25">
      <c r="H48" s="38"/>
      <c r="I48" s="36">
        <v>0.875</v>
      </c>
      <c r="J48" s="37">
        <v>12.76</v>
      </c>
      <c r="K48" s="34">
        <v>1.271198922744454</v>
      </c>
      <c r="L48">
        <v>-422.93151622042177</v>
      </c>
      <c r="M48">
        <v>3.8462182255288528</v>
      </c>
      <c r="N48">
        <v>-304.48062829233947</v>
      </c>
      <c r="O48">
        <v>8.3867207717398369</v>
      </c>
      <c r="P48">
        <v>-95.617511166634159</v>
      </c>
      <c r="Q48">
        <v>329815318.98992473</v>
      </c>
      <c r="R48">
        <v>15171504192.129871</v>
      </c>
      <c r="S48">
        <v>15.308588588766984</v>
      </c>
      <c r="T48">
        <v>222.7884084166146</v>
      </c>
      <c r="U48">
        <v>329815318.98992473</v>
      </c>
      <c r="V48">
        <v>15171504192.129871</v>
      </c>
    </row>
    <row r="49" spans="8:22" x14ac:dyDescent="0.25">
      <c r="H49" s="38"/>
      <c r="I49" s="36">
        <v>0.91666666666666696</v>
      </c>
      <c r="J49" s="37">
        <v>8.4700000000000006</v>
      </c>
      <c r="K49" s="34">
        <v>1.271198922744454</v>
      </c>
      <c r="L49">
        <v>-430.13031729767732</v>
      </c>
      <c r="M49">
        <v>3.8462182255288528</v>
      </c>
      <c r="N49">
        <v>-309.1044100668106</v>
      </c>
      <c r="O49">
        <v>8.3867207717398369</v>
      </c>
      <c r="P49">
        <v>-95.700790394894327</v>
      </c>
      <c r="Q49">
        <v>329815318.98992473</v>
      </c>
      <c r="R49">
        <v>15501319502.649796</v>
      </c>
      <c r="S49">
        <v>15.308588588766984</v>
      </c>
      <c r="T49">
        <v>229.62699700538158</v>
      </c>
      <c r="U49">
        <v>329815318.98992473</v>
      </c>
      <c r="V49">
        <v>15501319502.649796</v>
      </c>
    </row>
    <row r="50" spans="8:22" x14ac:dyDescent="0.25">
      <c r="H50" s="34"/>
      <c r="I50" s="36">
        <v>0.95833333333333304</v>
      </c>
      <c r="J50" s="37">
        <v>5.25</v>
      </c>
      <c r="K50" s="34">
        <v>1.271198922744454</v>
      </c>
      <c r="L50">
        <v>-434.10911837493285</v>
      </c>
      <c r="M50">
        <v>3.8462182255288528</v>
      </c>
      <c r="N50">
        <v>-310.50819184128176</v>
      </c>
      <c r="O50">
        <v>8.3867207717398369</v>
      </c>
      <c r="P50">
        <v>-92.564069623154495</v>
      </c>
      <c r="Q50">
        <v>329815318.98992473</v>
      </c>
      <c r="R50">
        <v>15831134816.389721</v>
      </c>
      <c r="S50">
        <v>15.308588588766984</v>
      </c>
      <c r="T50">
        <v>239.68558559414856</v>
      </c>
      <c r="U50">
        <v>329815318.98992473</v>
      </c>
      <c r="V50">
        <v>15831134816.389721</v>
      </c>
    </row>
    <row r="51" spans="8:22" ht="26.4" x14ac:dyDescent="0.25">
      <c r="H51" s="35" t="s">
        <v>4</v>
      </c>
      <c r="I51" s="36">
        <v>0</v>
      </c>
      <c r="J51" s="37">
        <v>3.83</v>
      </c>
      <c r="K51" s="34">
        <v>1.271198922744454</v>
      </c>
      <c r="L51">
        <v>-436.66791945218841</v>
      </c>
      <c r="M51">
        <v>3.8462182255288528</v>
      </c>
      <c r="N51">
        <v>-310.4919736157529</v>
      </c>
      <c r="O51">
        <v>8.3867207717398369</v>
      </c>
      <c r="P51">
        <v>-88.007348851414662</v>
      </c>
      <c r="Q51">
        <v>329815318.98992473</v>
      </c>
      <c r="R51">
        <v>16160950131.549646</v>
      </c>
      <c r="S51">
        <v>15.308588588766984</v>
      </c>
      <c r="T51">
        <v>251.16417418291556</v>
      </c>
      <c r="U51">
        <v>329815318.98992473</v>
      </c>
      <c r="V51">
        <v>16160950131.549646</v>
      </c>
    </row>
    <row r="52" spans="8:22" x14ac:dyDescent="0.25">
      <c r="H52" s="38"/>
      <c r="I52" s="36">
        <v>4.1666666666666699E-2</v>
      </c>
      <c r="J52" s="37">
        <v>2.8129629629629629</v>
      </c>
      <c r="K52" s="34">
        <v>1.271198922744454</v>
      </c>
      <c r="L52">
        <v>-438.2096834924069</v>
      </c>
      <c r="M52">
        <v>3.8462182255288528</v>
      </c>
      <c r="N52">
        <v>-309.45871835318701</v>
      </c>
      <c r="O52">
        <v>8.3867207717398369</v>
      </c>
      <c r="P52">
        <v>-82.433591042637786</v>
      </c>
      <c r="Q52">
        <v>329815318.98992473</v>
      </c>
      <c r="R52">
        <v>16490765447.726608</v>
      </c>
      <c r="S52">
        <v>15.308588588766984</v>
      </c>
      <c r="T52">
        <v>263.65979980871958</v>
      </c>
      <c r="U52">
        <v>329815318.98992473</v>
      </c>
      <c r="V52">
        <v>16490765447.726608</v>
      </c>
    </row>
    <row r="53" spans="8:22" x14ac:dyDescent="0.25">
      <c r="H53" s="38"/>
      <c r="I53" s="36">
        <v>8.3333333333333301E-2</v>
      </c>
      <c r="J53" s="37">
        <v>2.6833333333333331</v>
      </c>
      <c r="K53" s="34">
        <v>1.271198922744454</v>
      </c>
      <c r="L53">
        <v>-439.62181790299576</v>
      </c>
      <c r="M53">
        <v>3.8462182255288528</v>
      </c>
      <c r="N53">
        <v>-308.2958334609915</v>
      </c>
      <c r="O53">
        <v>8.3867207717398369</v>
      </c>
      <c r="P53">
        <v>-76.730203604231278</v>
      </c>
      <c r="Q53">
        <v>329815318.98992473</v>
      </c>
      <c r="R53">
        <v>16820580764.033199</v>
      </c>
      <c r="S53">
        <v>15.308588588766984</v>
      </c>
      <c r="T53">
        <v>276.28505506415325</v>
      </c>
      <c r="U53">
        <v>329815318.98992473</v>
      </c>
      <c r="V53">
        <v>16820580764.033199</v>
      </c>
    </row>
    <row r="54" spans="8:22" x14ac:dyDescent="0.25">
      <c r="H54" s="38"/>
      <c r="I54" s="36">
        <v>0.125</v>
      </c>
      <c r="J54" s="37">
        <v>2.588888888888889</v>
      </c>
      <c r="K54" s="34">
        <v>1.271198922744454</v>
      </c>
      <c r="L54">
        <v>-440.93950786914019</v>
      </c>
      <c r="M54">
        <v>3.8462182255288528</v>
      </c>
      <c r="N54">
        <v>-307.03850412435156</v>
      </c>
      <c r="O54">
        <v>8.3867207717398369</v>
      </c>
      <c r="P54">
        <v>-70.932371721380335</v>
      </c>
      <c r="Q54">
        <v>329815318.98992473</v>
      </c>
      <c r="R54">
        <v>17150396080.434235</v>
      </c>
      <c r="S54">
        <v>15.308588588766984</v>
      </c>
      <c r="T54">
        <v>289.00475476403136</v>
      </c>
      <c r="U54">
        <v>329815318.98992473</v>
      </c>
      <c r="V54">
        <v>17150396080.434235</v>
      </c>
    </row>
    <row r="55" spans="8:22" x14ac:dyDescent="0.25">
      <c r="H55" s="38"/>
      <c r="I55" s="36">
        <v>0.16666666666666699</v>
      </c>
      <c r="J55" s="37">
        <v>2.5240740740740741</v>
      </c>
      <c r="K55" s="34">
        <v>1.271198922744454</v>
      </c>
      <c r="L55">
        <v>-442.19238302046983</v>
      </c>
      <c r="M55">
        <v>3.8462182255288528</v>
      </c>
      <c r="N55">
        <v>-305.71635997289678</v>
      </c>
      <c r="O55">
        <v>8.3867207717398369</v>
      </c>
      <c r="P55">
        <v>-65.069725023714568</v>
      </c>
      <c r="Q55">
        <v>329815318.98992473</v>
      </c>
      <c r="R55">
        <v>17480211396.900085</v>
      </c>
      <c r="S55">
        <v>15.308588588766984</v>
      </c>
      <c r="T55">
        <v>301.78926927872425</v>
      </c>
      <c r="U55">
        <v>329815318.98992473</v>
      </c>
      <c r="V55">
        <v>17480211396.900085</v>
      </c>
    </row>
    <row r="56" spans="8:22" x14ac:dyDescent="0.25">
      <c r="H56" s="38"/>
      <c r="I56" s="36">
        <v>0.20833333333333301</v>
      </c>
      <c r="J56" s="37">
        <v>5.7777777777777777</v>
      </c>
      <c r="K56" s="34">
        <v>1.271198922744454</v>
      </c>
      <c r="L56">
        <v>-446.69896187550313</v>
      </c>
      <c r="M56">
        <v>3.8462182255288528</v>
      </c>
      <c r="N56">
        <v>-307.64791952514571</v>
      </c>
      <c r="O56">
        <v>8.3867207717398369</v>
      </c>
      <c r="P56">
        <v>-62.460782029752508</v>
      </c>
      <c r="Q56">
        <v>329815318.98992473</v>
      </c>
      <c r="R56">
        <v>17810026710.112232</v>
      </c>
      <c r="S56">
        <v>15.308588588766984</v>
      </c>
      <c r="T56">
        <v>311.32008008971343</v>
      </c>
      <c r="U56">
        <v>329815318.98992473</v>
      </c>
      <c r="V56">
        <v>17810026710.112232</v>
      </c>
    </row>
    <row r="57" spans="8:22" x14ac:dyDescent="0.25">
      <c r="H57" s="38"/>
      <c r="I57" s="36">
        <v>0.25</v>
      </c>
      <c r="J57" s="37">
        <v>13.859259259259259</v>
      </c>
      <c r="K57" s="34">
        <v>1.271198922744454</v>
      </c>
      <c r="L57">
        <v>-459.28702221201792</v>
      </c>
      <c r="M57">
        <v>3.8462182255288528</v>
      </c>
      <c r="N57">
        <v>-317.66096055887613</v>
      </c>
      <c r="O57">
        <v>8.3867207717398369</v>
      </c>
      <c r="P57">
        <v>-67.933320517271937</v>
      </c>
      <c r="Q57">
        <v>329815318.98992473</v>
      </c>
      <c r="R57">
        <v>18139842015.242897</v>
      </c>
      <c r="S57">
        <v>15.308588588766984</v>
      </c>
      <c r="T57">
        <v>312.76940941922118</v>
      </c>
      <c r="U57">
        <v>329815318.98992473</v>
      </c>
      <c r="V57">
        <v>18139842015.242897</v>
      </c>
    </row>
    <row r="58" spans="8:22" x14ac:dyDescent="0.25">
      <c r="H58" s="38"/>
      <c r="I58" s="36">
        <v>0.29166666666666702</v>
      </c>
      <c r="J58" s="37">
        <v>13.807407407407407</v>
      </c>
      <c r="K58" s="34">
        <v>1.271198922744454</v>
      </c>
      <c r="L58">
        <v>-471.82323069668087</v>
      </c>
      <c r="M58">
        <v>3.8462182255288528</v>
      </c>
      <c r="N58">
        <v>-327.62214974075471</v>
      </c>
      <c r="O58">
        <v>8.3867207717398369</v>
      </c>
      <c r="P58">
        <v>-73.354007152939502</v>
      </c>
      <c r="Q58">
        <v>329815318.98992473</v>
      </c>
      <c r="R58">
        <v>18469657320.425415</v>
      </c>
      <c r="S58">
        <v>15.308588588766984</v>
      </c>
      <c r="T58">
        <v>314.27059060058076</v>
      </c>
      <c r="U58">
        <v>329815318.98992473</v>
      </c>
      <c r="V58">
        <v>18469657320.425415</v>
      </c>
    </row>
    <row r="59" spans="8:22" x14ac:dyDescent="0.25">
      <c r="H59" s="38"/>
      <c r="I59" s="36">
        <v>0.33333333333333298</v>
      </c>
      <c r="J59" s="37">
        <v>12.088888888888889</v>
      </c>
      <c r="K59" s="34">
        <v>1.271198922744454</v>
      </c>
      <c r="L59">
        <v>-482.64092066282529</v>
      </c>
      <c r="M59">
        <v>3.8462182255288528</v>
      </c>
      <c r="N59">
        <v>-335.86482040411477</v>
      </c>
      <c r="O59">
        <v>8.3867207717398369</v>
      </c>
      <c r="P59">
        <v>-77.056175270088559</v>
      </c>
      <c r="Q59">
        <v>329815318.98992473</v>
      </c>
      <c r="R59">
        <v>18799472627.32645</v>
      </c>
      <c r="S59">
        <v>15.308588588766984</v>
      </c>
      <c r="T59">
        <v>317.49029030045887</v>
      </c>
      <c r="U59">
        <v>329815318.98992473</v>
      </c>
      <c r="V59">
        <v>18799472627.32645</v>
      </c>
    </row>
    <row r="60" spans="8:22" x14ac:dyDescent="0.25">
      <c r="H60" s="38"/>
      <c r="I60" s="36">
        <v>0.375</v>
      </c>
      <c r="J60" s="37">
        <v>10.288888888888888</v>
      </c>
      <c r="K60" s="34">
        <v>1.271198922744454</v>
      </c>
      <c r="L60">
        <v>-491.65861062896971</v>
      </c>
      <c r="M60">
        <v>3.8462182255288528</v>
      </c>
      <c r="N60">
        <v>-342.30749106747481</v>
      </c>
      <c r="O60">
        <v>8.3867207717398369</v>
      </c>
      <c r="P60">
        <v>-78.958343387237605</v>
      </c>
      <c r="Q60">
        <v>329815318.98992473</v>
      </c>
      <c r="R60">
        <v>19129287936.027485</v>
      </c>
      <c r="S60">
        <v>15.308588588766984</v>
      </c>
      <c r="T60">
        <v>322.50999000033698</v>
      </c>
      <c r="U60">
        <v>329815318.98992473</v>
      </c>
      <c r="V60">
        <v>19129287936.027485</v>
      </c>
    </row>
    <row r="61" spans="8:22" x14ac:dyDescent="0.25">
      <c r="H61" s="38"/>
      <c r="I61" s="36">
        <v>0.41666666666666702</v>
      </c>
      <c r="J61" s="37">
        <v>9.6888888888888882</v>
      </c>
      <c r="K61" s="34">
        <v>1.271198922744454</v>
      </c>
      <c r="L61">
        <v>-500.07630059511416</v>
      </c>
      <c r="M61">
        <v>3.8462182255288528</v>
      </c>
      <c r="N61">
        <v>-348.15016173083484</v>
      </c>
      <c r="O61">
        <v>8.3867207717398369</v>
      </c>
      <c r="P61">
        <v>-80.260511504386656</v>
      </c>
      <c r="Q61">
        <v>329815318.98992473</v>
      </c>
      <c r="R61">
        <v>19459103245.328522</v>
      </c>
      <c r="S61">
        <v>15.308588588766984</v>
      </c>
      <c r="T61">
        <v>328.12968970021507</v>
      </c>
      <c r="U61">
        <v>329815318.98992473</v>
      </c>
      <c r="V61">
        <v>19459103245.328522</v>
      </c>
    </row>
    <row r="62" spans="8:22" x14ac:dyDescent="0.25">
      <c r="H62" s="38"/>
      <c r="I62" s="36">
        <v>0.45833333333333298</v>
      </c>
      <c r="J62" s="37">
        <v>6.8981481481481479</v>
      </c>
      <c r="K62" s="34">
        <v>1.271198922744454</v>
      </c>
      <c r="L62">
        <v>-505.70324982051784</v>
      </c>
      <c r="M62">
        <v>3.8462182255288528</v>
      </c>
      <c r="N62">
        <v>-351.20209165345415</v>
      </c>
      <c r="O62">
        <v>8.3867207717398369</v>
      </c>
      <c r="P62">
        <v>-78.771938880794963</v>
      </c>
      <c r="Q62">
        <v>329815318.98992473</v>
      </c>
      <c r="R62">
        <v>19788918557.4203</v>
      </c>
      <c r="S62">
        <v>15.308588588766984</v>
      </c>
      <c r="T62">
        <v>336.54013014083392</v>
      </c>
      <c r="U62">
        <v>329815318.98992473</v>
      </c>
      <c r="V62">
        <v>19788918557.4203</v>
      </c>
    </row>
    <row r="63" spans="8:22" x14ac:dyDescent="0.25">
      <c r="H63" s="38"/>
      <c r="I63" s="36">
        <v>0.5</v>
      </c>
      <c r="J63" s="37">
        <v>7.1388888888888875</v>
      </c>
      <c r="K63" s="34">
        <v>1.271198922744454</v>
      </c>
      <c r="L63">
        <v>-511.57093978666228</v>
      </c>
      <c r="M63">
        <v>3.8462182255288528</v>
      </c>
      <c r="N63">
        <v>-354.49476231681416</v>
      </c>
      <c r="O63">
        <v>8.3867207717398369</v>
      </c>
      <c r="P63">
        <v>-77.524106997944017</v>
      </c>
      <c r="Q63">
        <v>329815318.98992473</v>
      </c>
      <c r="R63">
        <v>20118733869.271336</v>
      </c>
      <c r="S63">
        <v>15.308588588766984</v>
      </c>
      <c r="T63">
        <v>344.70982984071202</v>
      </c>
      <c r="U63">
        <v>329815318.98992473</v>
      </c>
      <c r="V63">
        <v>20118733869.271336</v>
      </c>
    </row>
    <row r="64" spans="8:22" x14ac:dyDescent="0.25">
      <c r="H64" s="38"/>
      <c r="I64" s="36">
        <v>0.54166666666666696</v>
      </c>
      <c r="J64" s="37">
        <v>8.5802469135802468</v>
      </c>
      <c r="K64" s="34">
        <v>1.271198922744454</v>
      </c>
      <c r="L64">
        <v>-518.87998777749806</v>
      </c>
      <c r="M64">
        <v>3.8462182255288528</v>
      </c>
      <c r="N64">
        <v>-359.22879100486557</v>
      </c>
      <c r="O64">
        <v>8.3867207717398369</v>
      </c>
      <c r="P64">
        <v>-77.717633139784425</v>
      </c>
      <c r="Q64">
        <v>329815318.98992473</v>
      </c>
      <c r="R64">
        <v>20448549179.681015</v>
      </c>
      <c r="S64">
        <v>15.308588588766984</v>
      </c>
      <c r="T64">
        <v>351.43817151589877</v>
      </c>
      <c r="U64">
        <v>329815318.98992473</v>
      </c>
      <c r="V64">
        <v>20448549179.681015</v>
      </c>
    </row>
    <row r="65" spans="8:22" x14ac:dyDescent="0.25">
      <c r="H65" s="38"/>
      <c r="I65" s="36">
        <v>0.58333333333333304</v>
      </c>
      <c r="J65" s="37">
        <v>9.80246913580247</v>
      </c>
      <c r="K65" s="34">
        <v>1.271198922744454</v>
      </c>
      <c r="L65">
        <v>-527.41125799055612</v>
      </c>
      <c r="M65">
        <v>3.8462182255288528</v>
      </c>
      <c r="N65">
        <v>-365.18504191513921</v>
      </c>
      <c r="O65">
        <v>8.3867207717398369</v>
      </c>
      <c r="P65">
        <v>-79.133381503847062</v>
      </c>
      <c r="Q65">
        <v>329815318.98992473</v>
      </c>
      <c r="R65">
        <v>20778364488.868469</v>
      </c>
      <c r="S65">
        <v>15.308588588766984</v>
      </c>
      <c r="T65">
        <v>356.9442909688633</v>
      </c>
      <c r="U65">
        <v>329815318.98992473</v>
      </c>
      <c r="V65">
        <v>20778364488.868469</v>
      </c>
    </row>
    <row r="66" spans="8:22" x14ac:dyDescent="0.25">
      <c r="H66" s="38"/>
      <c r="I66" s="36">
        <v>0.625</v>
      </c>
      <c r="J66" s="37">
        <v>6.5407407407407403</v>
      </c>
      <c r="K66" s="34">
        <v>1.271198922744454</v>
      </c>
      <c r="L66">
        <v>-532.68079980855236</v>
      </c>
      <c r="M66">
        <v>3.8462182255288528</v>
      </c>
      <c r="N66">
        <v>-367.87956443035108</v>
      </c>
      <c r="O66">
        <v>8.3867207717398369</v>
      </c>
      <c r="P66">
        <v>-77.287401472847961</v>
      </c>
      <c r="Q66">
        <v>329815318.98992473</v>
      </c>
      <c r="R66">
        <v>21108179801.317654</v>
      </c>
      <c r="S66">
        <v>15.308588588766984</v>
      </c>
      <c r="T66">
        <v>365.71213881688954</v>
      </c>
      <c r="U66">
        <v>329815318.98992473</v>
      </c>
      <c r="V66">
        <v>21108179801.317654</v>
      </c>
    </row>
    <row r="67" spans="8:22" x14ac:dyDescent="0.25">
      <c r="H67" s="38"/>
      <c r="I67" s="36">
        <v>0.66666666666666696</v>
      </c>
      <c r="J67" s="37">
        <v>5.3962962962962964</v>
      </c>
      <c r="K67" s="34">
        <v>1.271198922744454</v>
      </c>
      <c r="L67">
        <v>-536.80589718210422</v>
      </c>
      <c r="M67">
        <v>3.8462182255288528</v>
      </c>
      <c r="N67">
        <v>-369.42964250111851</v>
      </c>
      <c r="O67">
        <v>8.3867207717398369</v>
      </c>
      <c r="P67">
        <v>-74.296976997404414</v>
      </c>
      <c r="Q67">
        <v>329815318.98992473</v>
      </c>
      <c r="R67">
        <v>21437995114.911282</v>
      </c>
      <c r="S67">
        <v>15.308588588766984</v>
      </c>
      <c r="T67">
        <v>375.62443110936022</v>
      </c>
      <c r="U67">
        <v>329815318.98992473</v>
      </c>
      <c r="V67">
        <v>21437995114.911282</v>
      </c>
    </row>
    <row r="68" spans="8:22" x14ac:dyDescent="0.25">
      <c r="H68" s="38"/>
      <c r="I68" s="36">
        <v>0.70833333333333304</v>
      </c>
      <c r="J68" s="37">
        <v>4.837037037037037</v>
      </c>
      <c r="K68" s="34">
        <v>1.271198922744454</v>
      </c>
      <c r="L68">
        <v>-540.37173529639676</v>
      </c>
      <c r="M68">
        <v>3.8462182255288528</v>
      </c>
      <c r="N68">
        <v>-370.42046131262668</v>
      </c>
      <c r="O68">
        <v>8.3867207717398369</v>
      </c>
      <c r="P68">
        <v>-70.747293262701618</v>
      </c>
      <c r="Q68">
        <v>329815318.98992473</v>
      </c>
      <c r="R68">
        <v>21767810429.064171</v>
      </c>
      <c r="S68">
        <v>15.308588588766984</v>
      </c>
      <c r="T68">
        <v>386.09598266109015</v>
      </c>
      <c r="U68">
        <v>329815318.98992473</v>
      </c>
      <c r="V68">
        <v>21767810429.064171</v>
      </c>
    </row>
    <row r="69" spans="8:22" x14ac:dyDescent="0.25">
      <c r="H69" s="38"/>
      <c r="I69" s="36">
        <v>0.75</v>
      </c>
      <c r="J69" s="37">
        <v>11.540740740740739</v>
      </c>
      <c r="K69" s="34">
        <v>1.271198922744454</v>
      </c>
      <c r="L69">
        <v>-550.64127711439301</v>
      </c>
      <c r="M69">
        <v>3.8462182255288528</v>
      </c>
      <c r="N69">
        <v>-378.11498382783856</v>
      </c>
      <c r="O69">
        <v>8.3867207717398369</v>
      </c>
      <c r="P69">
        <v>-73.901313231702517</v>
      </c>
      <c r="Q69">
        <v>329815318.98992473</v>
      </c>
      <c r="R69">
        <v>22097625736.513355</v>
      </c>
      <c r="S69">
        <v>15.308588588766984</v>
      </c>
      <c r="T69">
        <v>389.86383050911638</v>
      </c>
      <c r="U69">
        <v>329815318.98992473</v>
      </c>
      <c r="V69">
        <v>22097625736.513355</v>
      </c>
    </row>
    <row r="70" spans="8:22" x14ac:dyDescent="0.25">
      <c r="H70" s="38"/>
      <c r="I70" s="36">
        <v>0.79166666666666696</v>
      </c>
      <c r="J70" s="37">
        <v>9.8148148148148149</v>
      </c>
      <c r="K70" s="34">
        <v>1.271198922744454</v>
      </c>
      <c r="L70">
        <v>-559.18489300646331</v>
      </c>
      <c r="M70">
        <v>3.8462182255288528</v>
      </c>
      <c r="N70">
        <v>-384.08358041712449</v>
      </c>
      <c r="O70">
        <v>8.3867207717398369</v>
      </c>
      <c r="P70">
        <v>-75.329407274777495</v>
      </c>
      <c r="Q70">
        <v>329815318.98992473</v>
      </c>
      <c r="R70">
        <v>22427441045.688465</v>
      </c>
      <c r="S70">
        <v>15.308588588766984</v>
      </c>
      <c r="T70">
        <v>395.35760428306855</v>
      </c>
      <c r="U70">
        <v>329815318.98992473</v>
      </c>
      <c r="V70">
        <v>22427441045.688465</v>
      </c>
    </row>
    <row r="71" spans="8:22" x14ac:dyDescent="0.25">
      <c r="H71" s="38"/>
      <c r="I71" s="36">
        <v>0.83333333333333304</v>
      </c>
      <c r="J71" s="37">
        <v>10.68148148148148</v>
      </c>
      <c r="K71" s="34">
        <v>1.271198922744454</v>
      </c>
      <c r="L71">
        <v>-568.59517556520029</v>
      </c>
      <c r="M71">
        <v>3.8462182255288528</v>
      </c>
      <c r="N71">
        <v>-390.91884367307711</v>
      </c>
      <c r="O71">
        <v>8.3867207717398369</v>
      </c>
      <c r="P71">
        <v>-77.624167984519133</v>
      </c>
      <c r="Q71">
        <v>329815318.98992473</v>
      </c>
      <c r="R71">
        <v>22757256353.99691</v>
      </c>
      <c r="S71">
        <v>15.308588588766984</v>
      </c>
      <c r="T71">
        <v>399.98471139035405</v>
      </c>
      <c r="U71">
        <v>329815318.98992473</v>
      </c>
      <c r="V71">
        <v>22757256353.99691</v>
      </c>
    </row>
    <row r="72" spans="8:22" x14ac:dyDescent="0.25">
      <c r="H72" s="38"/>
      <c r="I72" s="36">
        <v>0.875</v>
      </c>
      <c r="J72" s="37">
        <v>11.244444444444444</v>
      </c>
      <c r="K72" s="34">
        <v>1.271198922744454</v>
      </c>
      <c r="L72">
        <v>-578.56842108690023</v>
      </c>
      <c r="M72">
        <v>3.8462182255288528</v>
      </c>
      <c r="N72">
        <v>-398.31706989199267</v>
      </c>
      <c r="O72">
        <v>8.3867207717398369</v>
      </c>
      <c r="P72">
        <v>-80.481891657223741</v>
      </c>
      <c r="Q72">
        <v>329815318.98992473</v>
      </c>
      <c r="R72">
        <v>23087071661.74239</v>
      </c>
      <c r="S72">
        <v>15.308588588766984</v>
      </c>
      <c r="T72">
        <v>404.04885553467659</v>
      </c>
      <c r="U72">
        <v>329815318.98992473</v>
      </c>
      <c r="V72">
        <v>23087071661.74239</v>
      </c>
    </row>
    <row r="73" spans="8:22" x14ac:dyDescent="0.25">
      <c r="H73" s="38"/>
      <c r="I73" s="36">
        <v>0.91666666666666696</v>
      </c>
      <c r="J73" s="37">
        <v>4.8777777777777773</v>
      </c>
      <c r="K73" s="34">
        <v>1.271198922744454</v>
      </c>
      <c r="L73">
        <v>-582.17499994193361</v>
      </c>
      <c r="M73">
        <v>3.8462182255288528</v>
      </c>
      <c r="N73">
        <v>-399.34862944424162</v>
      </c>
      <c r="O73">
        <v>8.3867207717398369</v>
      </c>
      <c r="P73">
        <v>-76.972948663261676</v>
      </c>
      <c r="Q73">
        <v>329815318.98992473</v>
      </c>
      <c r="R73">
        <v>23416886975.854538</v>
      </c>
      <c r="S73">
        <v>15.308588588766984</v>
      </c>
      <c r="T73">
        <v>414.47966634566581</v>
      </c>
      <c r="U73">
        <v>329815318.98992473</v>
      </c>
      <c r="V73">
        <v>23416886975.854538</v>
      </c>
    </row>
    <row r="74" spans="8:22" x14ac:dyDescent="0.25">
      <c r="H74" s="34"/>
      <c r="I74" s="36">
        <v>0.95833333333333304</v>
      </c>
      <c r="J74" s="37">
        <v>4.4851851851851849</v>
      </c>
      <c r="K74" s="34">
        <v>1.271198922744454</v>
      </c>
      <c r="L74">
        <v>-585.38898620437431</v>
      </c>
      <c r="M74">
        <v>3.8462182255288528</v>
      </c>
      <c r="N74">
        <v>-399.98759640389795</v>
      </c>
      <c r="O74">
        <v>8.3867207717398369</v>
      </c>
      <c r="P74">
        <v>-73.071413076707017</v>
      </c>
      <c r="Q74">
        <v>329815318.98992473</v>
      </c>
      <c r="R74">
        <v>23746702290.359276</v>
      </c>
      <c r="S74">
        <v>15.308588588766984</v>
      </c>
      <c r="T74">
        <v>425.30306974924758</v>
      </c>
      <c r="U74">
        <v>329815318.98992473</v>
      </c>
      <c r="V74">
        <v>23746702290.359276</v>
      </c>
    </row>
    <row r="75" spans="8:22" x14ac:dyDescent="0.25">
      <c r="H75" s="35" t="s">
        <v>5</v>
      </c>
      <c r="I75" s="36">
        <v>0</v>
      </c>
      <c r="J75" s="37">
        <v>4.1370370370370368</v>
      </c>
      <c r="K75" s="34">
        <v>1.271198922744454</v>
      </c>
      <c r="L75">
        <v>-588.25482431866692</v>
      </c>
      <c r="M75">
        <v>3.8462182255288528</v>
      </c>
      <c r="N75">
        <v>-400.27841521540614</v>
      </c>
      <c r="O75">
        <v>8.3867207717398369</v>
      </c>
      <c r="P75">
        <v>-68.821729342004218</v>
      </c>
      <c r="Q75">
        <v>329815318.98992473</v>
      </c>
      <c r="R75">
        <v>24076517605.212162</v>
      </c>
      <c r="S75">
        <v>15.308588588766984</v>
      </c>
      <c r="T75">
        <v>436.4746213009775</v>
      </c>
      <c r="U75">
        <v>329815318.98992473</v>
      </c>
      <c r="V75">
        <v>24076517605.212162</v>
      </c>
    </row>
    <row r="76" spans="8:22" x14ac:dyDescent="0.25">
      <c r="H76" s="38"/>
      <c r="I76" s="36">
        <v>4.1666666666666699E-2</v>
      </c>
      <c r="J76" s="37">
        <v>4.5569999999999995</v>
      </c>
      <c r="K76" s="34">
        <v>1.271198922744454</v>
      </c>
      <c r="L76">
        <v>-591.54062539592246</v>
      </c>
      <c r="M76">
        <v>3.8462182255288528</v>
      </c>
      <c r="N76">
        <v>-400.98919698987731</v>
      </c>
      <c r="O76">
        <v>8.3867207717398369</v>
      </c>
      <c r="P76">
        <v>-64.992008570264375</v>
      </c>
      <c r="Q76">
        <v>329815318.98992473</v>
      </c>
      <c r="R76">
        <v>24406332919.645088</v>
      </c>
      <c r="S76">
        <v>15.308588588766984</v>
      </c>
      <c r="T76">
        <v>447.2262098897445</v>
      </c>
      <c r="U76">
        <v>329815318.98992473</v>
      </c>
      <c r="V76">
        <v>24406332919.645088</v>
      </c>
    </row>
    <row r="77" spans="8:22" x14ac:dyDescent="0.25">
      <c r="H77" s="38"/>
      <c r="I77" s="36">
        <v>8.3333333333333301E-2</v>
      </c>
      <c r="J77" s="37">
        <v>4.3469999999999995</v>
      </c>
      <c r="K77" s="34">
        <v>1.271198922744454</v>
      </c>
      <c r="L77">
        <v>-594.61642647317797</v>
      </c>
      <c r="M77">
        <v>3.8462182255288528</v>
      </c>
      <c r="N77">
        <v>-401.48997876434845</v>
      </c>
      <c r="O77">
        <v>8.3867207717398369</v>
      </c>
      <c r="P77">
        <v>-60.952287798524537</v>
      </c>
      <c r="Q77">
        <v>329815318.98992473</v>
      </c>
      <c r="R77">
        <v>24736148234.288013</v>
      </c>
      <c r="S77">
        <v>15.308588588766984</v>
      </c>
      <c r="T77">
        <v>458.18779847851147</v>
      </c>
      <c r="U77">
        <v>329815318.98992473</v>
      </c>
      <c r="V77">
        <v>24736148234.288013</v>
      </c>
    </row>
    <row r="78" spans="8:22" x14ac:dyDescent="0.25">
      <c r="H78" s="38"/>
      <c r="I78" s="36">
        <v>0.125</v>
      </c>
      <c r="J78" s="37">
        <v>4.194</v>
      </c>
      <c r="K78" s="34">
        <v>1.271198922744454</v>
      </c>
      <c r="L78">
        <v>-597.53922755043357</v>
      </c>
      <c r="M78">
        <v>3.8462182255288528</v>
      </c>
      <c r="N78">
        <v>-401.83776053881962</v>
      </c>
      <c r="O78">
        <v>8.3867207717398369</v>
      </c>
      <c r="P78">
        <v>-56.759567026784701</v>
      </c>
      <c r="Q78">
        <v>329815318.98992473</v>
      </c>
      <c r="R78">
        <v>25065963549.083939</v>
      </c>
      <c r="S78">
        <v>15.308588588766984</v>
      </c>
      <c r="T78">
        <v>469.30238706727846</v>
      </c>
      <c r="U78">
        <v>329815318.98992473</v>
      </c>
      <c r="V78">
        <v>25065963549.083939</v>
      </c>
    </row>
    <row r="79" spans="8:22" x14ac:dyDescent="0.25">
      <c r="H79" s="38"/>
      <c r="I79" s="36">
        <v>0.16666666666666699</v>
      </c>
      <c r="J79" s="37">
        <v>4.0890000000000004</v>
      </c>
      <c r="K79" s="34">
        <v>1.271198922744454</v>
      </c>
      <c r="L79">
        <v>-600.35702862768915</v>
      </c>
      <c r="M79">
        <v>3.8462182255288528</v>
      </c>
      <c r="N79">
        <v>-402.08054231329078</v>
      </c>
      <c r="O79">
        <v>8.3867207717398369</v>
      </c>
      <c r="P79">
        <v>-52.461846255044861</v>
      </c>
      <c r="Q79">
        <v>329815318.98992473</v>
      </c>
      <c r="R79">
        <v>25395778863.984863</v>
      </c>
      <c r="S79">
        <v>15.308588588766984</v>
      </c>
      <c r="T79">
        <v>480.52197565604547</v>
      </c>
      <c r="U79">
        <v>329815318.98992473</v>
      </c>
      <c r="V79">
        <v>25395778863.984863</v>
      </c>
    </row>
    <row r="80" spans="8:22" x14ac:dyDescent="0.25">
      <c r="H80" s="38"/>
      <c r="I80" s="36">
        <v>0.20833333333333301</v>
      </c>
      <c r="J80" s="37">
        <v>9.36</v>
      </c>
      <c r="K80" s="34">
        <v>1.271198922744454</v>
      </c>
      <c r="L80">
        <v>-608.44582970494469</v>
      </c>
      <c r="M80">
        <v>3.8462182255288528</v>
      </c>
      <c r="N80">
        <v>-407.59432408776195</v>
      </c>
      <c r="O80">
        <v>8.3867207717398369</v>
      </c>
      <c r="P80">
        <v>-53.435125483305022</v>
      </c>
      <c r="Q80">
        <v>329815318.98992473</v>
      </c>
      <c r="R80">
        <v>25725594173.614788</v>
      </c>
      <c r="S80">
        <v>15.308588588766984</v>
      </c>
      <c r="T80">
        <v>486.47056424481246</v>
      </c>
      <c r="U80">
        <v>329815318.98992473</v>
      </c>
      <c r="V80">
        <v>25725594173.614788</v>
      </c>
    </row>
    <row r="81" spans="8:22" x14ac:dyDescent="0.25">
      <c r="H81" s="38"/>
      <c r="I81" s="36">
        <v>0.25</v>
      </c>
      <c r="J81" s="37">
        <v>22.452000000000002</v>
      </c>
      <c r="K81" s="34">
        <v>1.271198922744454</v>
      </c>
      <c r="L81">
        <v>-629.62663078220021</v>
      </c>
      <c r="M81">
        <v>3.8462182255288528</v>
      </c>
      <c r="N81">
        <v>-426.2001058622331</v>
      </c>
      <c r="O81">
        <v>8.3867207717398369</v>
      </c>
      <c r="P81">
        <v>-67.500404711565182</v>
      </c>
      <c r="Q81">
        <v>329815318.98992473</v>
      </c>
      <c r="R81">
        <v>26055409470.152714</v>
      </c>
      <c r="S81">
        <v>15.308588588766984</v>
      </c>
      <c r="T81">
        <v>479.32715283357948</v>
      </c>
      <c r="U81">
        <v>329815318.98992473</v>
      </c>
      <c r="V81">
        <v>26055409470.152714</v>
      </c>
    </row>
    <row r="82" spans="8:22" x14ac:dyDescent="0.25">
      <c r="H82" s="38"/>
      <c r="I82" s="36">
        <v>0.29166666666666702</v>
      </c>
      <c r="J82" s="37">
        <v>22.367999999999999</v>
      </c>
      <c r="K82" s="34">
        <v>1.271198922744454</v>
      </c>
      <c r="L82">
        <v>-650.72343185945579</v>
      </c>
      <c r="M82">
        <v>3.8462182255288528</v>
      </c>
      <c r="N82">
        <v>-444.72188763670425</v>
      </c>
      <c r="O82">
        <v>8.3867207717398369</v>
      </c>
      <c r="P82">
        <v>-81.481683939825345</v>
      </c>
      <c r="Q82">
        <v>329815318.98992473</v>
      </c>
      <c r="R82">
        <v>26385224766.774639</v>
      </c>
      <c r="S82">
        <v>15.308588588766984</v>
      </c>
      <c r="T82">
        <v>472.26774142234649</v>
      </c>
      <c r="U82">
        <v>329815318.98992473</v>
      </c>
      <c r="V82">
        <v>26385224766.774639</v>
      </c>
    </row>
    <row r="83" spans="8:22" x14ac:dyDescent="0.25">
      <c r="H83" s="38"/>
      <c r="I83" s="36">
        <v>0.33333333333333298</v>
      </c>
      <c r="J83" s="37">
        <v>19.584</v>
      </c>
      <c r="K83" s="34">
        <v>1.271198922744454</v>
      </c>
      <c r="L83">
        <v>-669.03623293671137</v>
      </c>
      <c r="M83">
        <v>3.8462182255288528</v>
      </c>
      <c r="N83">
        <v>-460.45966941117541</v>
      </c>
      <c r="O83">
        <v>8.3867207717398369</v>
      </c>
      <c r="P83">
        <v>-92.678963168085502</v>
      </c>
      <c r="Q83">
        <v>329815318.98992473</v>
      </c>
      <c r="R83">
        <v>26715040066.180565</v>
      </c>
      <c r="S83">
        <v>15.308588588766984</v>
      </c>
      <c r="T83">
        <v>467.99233001111349</v>
      </c>
      <c r="U83">
        <v>329815318.98992473</v>
      </c>
      <c r="V83">
        <v>26715040066.180565</v>
      </c>
    </row>
    <row r="84" spans="8:22" x14ac:dyDescent="0.25">
      <c r="H84" s="38"/>
      <c r="I84" s="36">
        <v>0.375</v>
      </c>
      <c r="J84" s="37">
        <v>16.667999999999999</v>
      </c>
      <c r="K84" s="34">
        <v>1.271198922744454</v>
      </c>
      <c r="L84">
        <v>-684.4330340139669</v>
      </c>
      <c r="M84">
        <v>3.8462182255288528</v>
      </c>
      <c r="N84">
        <v>-473.28145118564657</v>
      </c>
      <c r="O84">
        <v>8.3867207717398369</v>
      </c>
      <c r="P84">
        <v>-100.96024239634566</v>
      </c>
      <c r="Q84">
        <v>329815318.98992473</v>
      </c>
      <c r="R84">
        <v>27044855368.502491</v>
      </c>
      <c r="S84">
        <v>15.308588588766984</v>
      </c>
      <c r="T84">
        <v>466.6329185998805</v>
      </c>
      <c r="U84">
        <v>329815318.98992473</v>
      </c>
      <c r="V84">
        <v>27044855368.502491</v>
      </c>
    </row>
    <row r="85" spans="8:22" x14ac:dyDescent="0.25">
      <c r="H85" s="38"/>
      <c r="I85" s="36">
        <v>0.41666666666666702</v>
      </c>
      <c r="J85" s="37">
        <v>15.696</v>
      </c>
      <c r="K85" s="34">
        <v>1.271198922744454</v>
      </c>
      <c r="L85">
        <v>-698.85783509122246</v>
      </c>
      <c r="M85">
        <v>3.8462182255288528</v>
      </c>
      <c r="N85">
        <v>-485.1312329601177</v>
      </c>
      <c r="O85">
        <v>8.3867207717398369</v>
      </c>
      <c r="P85">
        <v>-108.26952162460583</v>
      </c>
      <c r="Q85">
        <v>329815318.98992473</v>
      </c>
      <c r="R85">
        <v>27374670671.796417</v>
      </c>
      <c r="S85">
        <v>15.308588588766984</v>
      </c>
      <c r="T85">
        <v>466.24550718864748</v>
      </c>
      <c r="U85">
        <v>329815318.98992473</v>
      </c>
      <c r="V85">
        <v>27374670671.796417</v>
      </c>
    </row>
    <row r="86" spans="8:22" x14ac:dyDescent="0.25">
      <c r="H86" s="38"/>
      <c r="I86" s="36">
        <v>0.45833333333333298</v>
      </c>
      <c r="J86" s="37">
        <v>11.175000000000001</v>
      </c>
      <c r="K86" s="34">
        <v>1.271198922744454</v>
      </c>
      <c r="L86">
        <v>-708.76163616847805</v>
      </c>
      <c r="M86">
        <v>3.8462182255288528</v>
      </c>
      <c r="N86">
        <v>-492.46001473458887</v>
      </c>
      <c r="O86">
        <v>8.3867207717398369</v>
      </c>
      <c r="P86">
        <v>-111.057800852866</v>
      </c>
      <c r="Q86">
        <v>329815318.98992473</v>
      </c>
      <c r="R86">
        <v>27704485979.611343</v>
      </c>
      <c r="S86">
        <v>15.308588588766984</v>
      </c>
      <c r="T86">
        <v>470.37909577741448</v>
      </c>
      <c r="U86">
        <v>329815318.98992473</v>
      </c>
      <c r="V86">
        <v>27704485979.611343</v>
      </c>
    </row>
    <row r="87" spans="8:22" x14ac:dyDescent="0.25">
      <c r="H87" s="38"/>
      <c r="I87" s="36">
        <v>0.5</v>
      </c>
      <c r="J87" s="37">
        <v>11.565</v>
      </c>
      <c r="K87" s="34">
        <v>1.271198922744454</v>
      </c>
      <c r="L87">
        <v>-719.05543724573363</v>
      </c>
      <c r="M87">
        <v>3.8462182255288528</v>
      </c>
      <c r="N87">
        <v>-500.17879650906002</v>
      </c>
      <c r="O87">
        <v>8.3867207717398369</v>
      </c>
      <c r="P87">
        <v>-114.23608008112616</v>
      </c>
      <c r="Q87">
        <v>329815318.98992473</v>
      </c>
      <c r="R87">
        <v>28034301287.036266</v>
      </c>
      <c r="S87">
        <v>15.308588588766984</v>
      </c>
      <c r="T87">
        <v>474.12268436618149</v>
      </c>
      <c r="U87">
        <v>329815318.98992473</v>
      </c>
      <c r="V87">
        <v>28034301287.036266</v>
      </c>
    </row>
    <row r="88" spans="8:22" x14ac:dyDescent="0.25">
      <c r="H88" s="38"/>
      <c r="I88" s="36">
        <v>0.54166666666666696</v>
      </c>
      <c r="J88" s="37">
        <v>13.9</v>
      </c>
      <c r="K88" s="34">
        <v>1.271198922744454</v>
      </c>
      <c r="L88">
        <v>-731.68423832298913</v>
      </c>
      <c r="M88">
        <v>3.8462182255288528</v>
      </c>
      <c r="N88">
        <v>-510.23257828353115</v>
      </c>
      <c r="O88">
        <v>8.3867207717398369</v>
      </c>
      <c r="P88">
        <v>-119.74935930938632</v>
      </c>
      <c r="Q88">
        <v>329815318.98992473</v>
      </c>
      <c r="R88">
        <v>28364116592.12619</v>
      </c>
      <c r="S88">
        <v>15.308588588766984</v>
      </c>
      <c r="T88">
        <v>475.53127295494846</v>
      </c>
      <c r="U88">
        <v>329815318.98992473</v>
      </c>
      <c r="V88">
        <v>28364116592.12619</v>
      </c>
    </row>
    <row r="89" spans="8:22" x14ac:dyDescent="0.25">
      <c r="H89" s="38"/>
      <c r="I89" s="36">
        <v>0.58333333333333304</v>
      </c>
      <c r="J89" s="37">
        <v>15.88</v>
      </c>
      <c r="K89" s="34">
        <v>1.271198922744454</v>
      </c>
      <c r="L89">
        <v>-746.29303940024465</v>
      </c>
      <c r="M89">
        <v>3.8462182255288528</v>
      </c>
      <c r="N89">
        <v>-522.26636005800231</v>
      </c>
      <c r="O89">
        <v>8.3867207717398369</v>
      </c>
      <c r="P89">
        <v>-127.24263853764649</v>
      </c>
      <c r="Q89">
        <v>329815318.98992473</v>
      </c>
      <c r="R89">
        <v>28693931895.236115</v>
      </c>
      <c r="S89">
        <v>15.308588588766984</v>
      </c>
      <c r="T89">
        <v>474.95986154371542</v>
      </c>
      <c r="U89">
        <v>329815318.98992473</v>
      </c>
      <c r="V89">
        <v>28693931895.236115</v>
      </c>
    </row>
    <row r="90" spans="8:22" x14ac:dyDescent="0.25">
      <c r="H90" s="38"/>
      <c r="I90" s="36">
        <v>0.625</v>
      </c>
      <c r="J90" s="37">
        <v>10.596</v>
      </c>
      <c r="K90" s="34">
        <v>1.271198922744454</v>
      </c>
      <c r="L90">
        <v>-755.61784047750018</v>
      </c>
      <c r="M90">
        <v>3.8462182255288528</v>
      </c>
      <c r="N90">
        <v>-529.01614183247341</v>
      </c>
      <c r="O90">
        <v>8.3867207717398369</v>
      </c>
      <c r="P90">
        <v>-129.45191776590664</v>
      </c>
      <c r="Q90">
        <v>329815318.98992473</v>
      </c>
      <c r="R90">
        <v>29023747203.630039</v>
      </c>
      <c r="S90">
        <v>15.308588588766984</v>
      </c>
      <c r="T90">
        <v>479.67245013248242</v>
      </c>
      <c r="U90">
        <v>329815318.98992473</v>
      </c>
      <c r="V90">
        <v>29023747203.630039</v>
      </c>
    </row>
    <row r="91" spans="8:22" x14ac:dyDescent="0.25">
      <c r="H91" s="38"/>
      <c r="I91" s="36">
        <v>0.66666666666666696</v>
      </c>
      <c r="J91" s="37">
        <v>8.7419999999999991</v>
      </c>
      <c r="K91" s="34">
        <v>1.271198922744454</v>
      </c>
      <c r="L91">
        <v>-763.08864155475578</v>
      </c>
      <c r="M91">
        <v>3.8462182255288528</v>
      </c>
      <c r="N91">
        <v>-533.91192360694458</v>
      </c>
      <c r="O91">
        <v>8.3867207717398369</v>
      </c>
      <c r="P91">
        <v>-129.80719699416682</v>
      </c>
      <c r="Q91">
        <v>329815318.98992473</v>
      </c>
      <c r="R91">
        <v>29353562513.877964</v>
      </c>
      <c r="S91">
        <v>15.308588588766984</v>
      </c>
      <c r="T91">
        <v>486.23903872124941</v>
      </c>
      <c r="U91">
        <v>329815318.98992473</v>
      </c>
      <c r="V91">
        <v>29353562513.877964</v>
      </c>
    </row>
    <row r="92" spans="8:22" x14ac:dyDescent="0.25">
      <c r="H92" s="38"/>
      <c r="I92" s="36">
        <v>0.70833333333333304</v>
      </c>
      <c r="J92" s="37">
        <v>7.8360000000000003</v>
      </c>
      <c r="K92" s="34">
        <v>1.271198922744454</v>
      </c>
      <c r="L92">
        <v>-769.65344263201132</v>
      </c>
      <c r="M92">
        <v>3.8462182255288528</v>
      </c>
      <c r="N92">
        <v>-537.9017053814157</v>
      </c>
      <c r="O92">
        <v>8.3867207717398369</v>
      </c>
      <c r="P92">
        <v>-129.25647622242698</v>
      </c>
      <c r="Q92">
        <v>329815318.98992473</v>
      </c>
      <c r="R92">
        <v>29683377825.031887</v>
      </c>
      <c r="S92">
        <v>15.308588588766984</v>
      </c>
      <c r="T92">
        <v>493.71162731001641</v>
      </c>
      <c r="U92">
        <v>329815318.98992473</v>
      </c>
      <c r="V92">
        <v>29683377825.031887</v>
      </c>
    </row>
    <row r="93" spans="8:22" x14ac:dyDescent="0.25">
      <c r="H93" s="38"/>
      <c r="I93" s="36">
        <v>0.75</v>
      </c>
      <c r="J93" s="37">
        <v>18.695999999999998</v>
      </c>
      <c r="K93" s="34">
        <v>1.271198922744454</v>
      </c>
      <c r="L93">
        <v>-787.07824370926687</v>
      </c>
      <c r="M93">
        <v>3.8462182255288528</v>
      </c>
      <c r="N93">
        <v>-552.75148715588682</v>
      </c>
      <c r="O93">
        <v>8.3867207717398369</v>
      </c>
      <c r="P93">
        <v>-139.56575545068713</v>
      </c>
      <c r="Q93">
        <v>329815318.98992473</v>
      </c>
      <c r="R93">
        <v>30013193125.325813</v>
      </c>
      <c r="S93">
        <v>15.308588588766984</v>
      </c>
      <c r="T93">
        <v>490.32421589878339</v>
      </c>
      <c r="U93">
        <v>329815318.98992473</v>
      </c>
      <c r="V93">
        <v>30013193125.325813</v>
      </c>
    </row>
    <row r="94" spans="8:22" x14ac:dyDescent="0.25">
      <c r="H94" s="38"/>
      <c r="I94" s="36">
        <v>0.79166666666666696</v>
      </c>
      <c r="J94" s="37">
        <v>15.9</v>
      </c>
      <c r="K94" s="34">
        <v>1.271198922744454</v>
      </c>
      <c r="L94">
        <v>-801.70704478652237</v>
      </c>
      <c r="M94">
        <v>3.8462182255288528</v>
      </c>
      <c r="N94">
        <v>-564.80526893035801</v>
      </c>
      <c r="O94">
        <v>8.3867207717398369</v>
      </c>
      <c r="P94">
        <v>-147.07903467894729</v>
      </c>
      <c r="Q94">
        <v>329815318.98992473</v>
      </c>
      <c r="R94">
        <v>30343008428.415737</v>
      </c>
      <c r="S94">
        <v>15.308588588766984</v>
      </c>
      <c r="T94">
        <v>489.73280448755037</v>
      </c>
      <c r="U94">
        <v>329815318.98992473</v>
      </c>
      <c r="V94">
        <v>30343008428.415737</v>
      </c>
    </row>
    <row r="95" spans="8:22" x14ac:dyDescent="0.25">
      <c r="H95" s="38"/>
      <c r="I95" s="36">
        <v>0.83333333333333304</v>
      </c>
      <c r="J95" s="37">
        <v>17.303999999999998</v>
      </c>
      <c r="K95" s="34">
        <v>1.271198922744454</v>
      </c>
      <c r="L95">
        <v>-817.73984586377787</v>
      </c>
      <c r="M95">
        <v>3.8462182255288528</v>
      </c>
      <c r="N95">
        <v>-578.2630507048292</v>
      </c>
      <c r="O95">
        <v>8.3867207717398369</v>
      </c>
      <c r="P95">
        <v>-155.99631390720745</v>
      </c>
      <c r="Q95">
        <v>329815318.98992473</v>
      </c>
      <c r="R95">
        <v>30672823730.101662</v>
      </c>
      <c r="S95">
        <v>15.308588588766984</v>
      </c>
      <c r="T95">
        <v>487.73739307631735</v>
      </c>
      <c r="U95">
        <v>329815318.98992473</v>
      </c>
      <c r="V95">
        <v>30672823730.101662</v>
      </c>
    </row>
    <row r="96" spans="8:22" x14ac:dyDescent="0.25">
      <c r="H96" s="38"/>
      <c r="I96" s="36">
        <v>0.875</v>
      </c>
      <c r="J96" s="37">
        <v>18.215999999999998</v>
      </c>
      <c r="K96" s="34">
        <v>1.271198922744454</v>
      </c>
      <c r="L96">
        <v>-834.68464694103341</v>
      </c>
      <c r="M96">
        <v>3.8462182255288528</v>
      </c>
      <c r="N96">
        <v>-592.6328324793003</v>
      </c>
      <c r="O96">
        <v>8.3867207717398369</v>
      </c>
      <c r="P96">
        <v>-165.82559313546761</v>
      </c>
      <c r="Q96">
        <v>329815318.98992473</v>
      </c>
      <c r="R96">
        <v>31002639030.875587</v>
      </c>
      <c r="S96">
        <v>15.308588588766984</v>
      </c>
      <c r="T96">
        <v>484.82998166508435</v>
      </c>
      <c r="U96">
        <v>329815318.98992473</v>
      </c>
      <c r="V96">
        <v>31002639030.875587</v>
      </c>
    </row>
    <row r="97" spans="8:22" x14ac:dyDescent="0.25">
      <c r="H97" s="38"/>
      <c r="I97" s="36">
        <v>0.91666666666666696</v>
      </c>
      <c r="J97" s="37">
        <v>7.9019999999999992</v>
      </c>
      <c r="K97" s="34">
        <v>1.271198922744454</v>
      </c>
      <c r="L97">
        <v>-841.31544801828898</v>
      </c>
      <c r="M97">
        <v>3.8462182255288528</v>
      </c>
      <c r="N97">
        <v>-596.68861425377145</v>
      </c>
      <c r="O97">
        <v>8.3867207717398369</v>
      </c>
      <c r="P97">
        <v>-165.34087236372778</v>
      </c>
      <c r="Q97">
        <v>329815318.98992473</v>
      </c>
      <c r="R97">
        <v>31332454341.963512</v>
      </c>
      <c r="S97">
        <v>15.308588588766984</v>
      </c>
      <c r="T97">
        <v>492.23657025385131</v>
      </c>
      <c r="U97">
        <v>329815318.98992473</v>
      </c>
      <c r="V97">
        <v>31332454341.963512</v>
      </c>
    </row>
    <row r="98" spans="8:22" x14ac:dyDescent="0.25">
      <c r="H98" s="34"/>
      <c r="I98" s="36">
        <v>0.95833333333333304</v>
      </c>
      <c r="J98" s="37">
        <v>7.2659999999999991</v>
      </c>
      <c r="K98" s="34">
        <v>1.271198922744454</v>
      </c>
      <c r="L98">
        <v>-847.31024909554458</v>
      </c>
      <c r="M98">
        <v>3.8462182255288528</v>
      </c>
      <c r="N98">
        <v>-600.10839602824262</v>
      </c>
      <c r="O98">
        <v>8.3867207717398369</v>
      </c>
      <c r="P98">
        <v>-164.22015159198796</v>
      </c>
      <c r="Q98">
        <v>329815318.98992473</v>
      </c>
      <c r="R98">
        <v>31662269653.687439</v>
      </c>
      <c r="S98">
        <v>15.308588588766984</v>
      </c>
      <c r="T98">
        <v>500.2791588426183</v>
      </c>
      <c r="U98">
        <v>329815318.98992473</v>
      </c>
      <c r="V98">
        <v>31662269653.687439</v>
      </c>
    </row>
    <row r="99" spans="8:22" x14ac:dyDescent="0.25">
      <c r="H99" s="35" t="s">
        <v>6</v>
      </c>
      <c r="I99" s="36">
        <v>0</v>
      </c>
      <c r="J99" s="37">
        <v>3.702</v>
      </c>
      <c r="K99" s="34">
        <v>1.271198922744454</v>
      </c>
      <c r="L99">
        <v>-849.7410501728001</v>
      </c>
      <c r="M99">
        <v>3.8462182255288528</v>
      </c>
      <c r="N99">
        <v>-599.96417780271372</v>
      </c>
      <c r="O99">
        <v>8.3867207717398369</v>
      </c>
      <c r="P99">
        <v>-159.53543082024811</v>
      </c>
      <c r="Q99">
        <v>329815318.98992473</v>
      </c>
      <c r="R99">
        <v>31992084968.975365</v>
      </c>
      <c r="S99">
        <v>15.308588588766984</v>
      </c>
      <c r="T99">
        <v>511.88574743138531</v>
      </c>
      <c r="U99">
        <v>329815318.98992473</v>
      </c>
      <c r="V99">
        <v>31992084968.975365</v>
      </c>
    </row>
    <row r="100" spans="8:22" x14ac:dyDescent="0.25">
      <c r="H100" s="38"/>
      <c r="I100" s="36">
        <v>4.1666666666666699E-2</v>
      </c>
      <c r="J100" s="37">
        <v>3.3021739130434784</v>
      </c>
      <c r="K100" s="34">
        <v>1.271198922744454</v>
      </c>
      <c r="L100">
        <v>-851.7720251630991</v>
      </c>
      <c r="M100">
        <v>3.8462182255288528</v>
      </c>
      <c r="N100">
        <v>-599.4201334902283</v>
      </c>
      <c r="O100">
        <v>8.3867207717398369</v>
      </c>
      <c r="P100">
        <v>-154.45088396155174</v>
      </c>
      <c r="Q100">
        <v>329815318.98992473</v>
      </c>
      <c r="R100">
        <v>32321900284.663116</v>
      </c>
      <c r="S100">
        <v>15.308588588766984</v>
      </c>
      <c r="T100">
        <v>523.89216210710879</v>
      </c>
      <c r="U100">
        <v>329815318.98992473</v>
      </c>
      <c r="V100">
        <v>32321900284.663116</v>
      </c>
    </row>
    <row r="101" spans="8:22" x14ac:dyDescent="0.25">
      <c r="H101" s="38"/>
      <c r="I101" s="36">
        <v>8.3333333333333301E-2</v>
      </c>
      <c r="J101" s="37">
        <v>3.15</v>
      </c>
      <c r="K101" s="34">
        <v>1.271198922744454</v>
      </c>
      <c r="L101">
        <v>-853.6508262403546</v>
      </c>
      <c r="M101">
        <v>3.8462182255288528</v>
      </c>
      <c r="N101">
        <v>-598.72391526469949</v>
      </c>
      <c r="O101">
        <v>8.3867207717398369</v>
      </c>
      <c r="P101">
        <v>-149.2141631898119</v>
      </c>
      <c r="Q101">
        <v>329815318.98992473</v>
      </c>
      <c r="R101">
        <v>32651715600.50304</v>
      </c>
      <c r="S101">
        <v>15.308588588766984</v>
      </c>
      <c r="T101">
        <v>536.05075069587576</v>
      </c>
      <c r="U101">
        <v>329815318.98992473</v>
      </c>
      <c r="V101">
        <v>32651715600.50304</v>
      </c>
    </row>
    <row r="102" spans="8:22" x14ac:dyDescent="0.25">
      <c r="H102" s="38"/>
      <c r="I102" s="36">
        <v>0.125</v>
      </c>
      <c r="J102" s="37">
        <v>3.0391304347826091</v>
      </c>
      <c r="K102" s="34">
        <v>1.271198922744454</v>
      </c>
      <c r="L102">
        <v>-855.41875775239271</v>
      </c>
      <c r="M102">
        <v>3.8462182255288528</v>
      </c>
      <c r="N102">
        <v>-597.91682747395328</v>
      </c>
      <c r="O102">
        <v>8.3867207717398369</v>
      </c>
      <c r="P102">
        <v>-143.86657285285466</v>
      </c>
      <c r="Q102">
        <v>329815318.98992473</v>
      </c>
      <c r="R102">
        <v>32981530916.453835</v>
      </c>
      <c r="S102">
        <v>15.308588588766984</v>
      </c>
      <c r="T102">
        <v>548.32020884986014</v>
      </c>
      <c r="U102">
        <v>329815318.98992473</v>
      </c>
      <c r="V102">
        <v>32981530916.453835</v>
      </c>
    </row>
    <row r="103" spans="8:22" x14ac:dyDescent="0.25">
      <c r="H103" s="38"/>
      <c r="I103" s="36">
        <v>0.16666666666666699</v>
      </c>
      <c r="J103" s="37">
        <v>2.9630434782608699</v>
      </c>
      <c r="K103" s="34">
        <v>1.271198922744454</v>
      </c>
      <c r="L103">
        <v>-857.11060230790918</v>
      </c>
      <c r="M103">
        <v>3.8462182255288528</v>
      </c>
      <c r="N103">
        <v>-597.03365272668532</v>
      </c>
      <c r="O103">
        <v>8.3867207717398369</v>
      </c>
      <c r="P103">
        <v>-138.4428955593757</v>
      </c>
      <c r="Q103">
        <v>329815318.98992473</v>
      </c>
      <c r="R103">
        <v>33311346232.480717</v>
      </c>
      <c r="S103">
        <v>15.308588588766984</v>
      </c>
      <c r="T103">
        <v>560.66575396036626</v>
      </c>
      <c r="U103">
        <v>329815318.98992473</v>
      </c>
      <c r="V103">
        <v>33311346232.480717</v>
      </c>
    </row>
    <row r="104" spans="8:22" x14ac:dyDescent="0.25">
      <c r="H104" s="38"/>
      <c r="I104" s="36">
        <v>0.20833333333333301</v>
      </c>
      <c r="J104" s="37">
        <v>6.7826086956521747</v>
      </c>
      <c r="K104" s="34">
        <v>1.271198922744454</v>
      </c>
      <c r="L104">
        <v>-862.62201208081694</v>
      </c>
      <c r="M104">
        <v>3.8462182255288528</v>
      </c>
      <c r="N104">
        <v>-599.97004319680866</v>
      </c>
      <c r="O104">
        <v>8.3867207717398369</v>
      </c>
      <c r="P104">
        <v>-136.83878348328804</v>
      </c>
      <c r="Q104">
        <v>329815318.98992473</v>
      </c>
      <c r="R104">
        <v>33641161544.688034</v>
      </c>
      <c r="S104">
        <v>15.308588588766984</v>
      </c>
      <c r="T104">
        <v>569.19173385348108</v>
      </c>
      <c r="U104">
        <v>329815318.98992473</v>
      </c>
      <c r="V104">
        <v>33641161544.688034</v>
      </c>
    </row>
    <row r="105" spans="8:22" x14ac:dyDescent="0.25">
      <c r="H105" s="38"/>
      <c r="I105" s="36">
        <v>0.25</v>
      </c>
      <c r="J105" s="37">
        <v>16.269565217391307</v>
      </c>
      <c r="K105" s="34">
        <v>1.271198922744454</v>
      </c>
      <c r="L105">
        <v>-877.62037837546382</v>
      </c>
      <c r="M105">
        <v>3.8462182255288528</v>
      </c>
      <c r="N105">
        <v>-612.39339018867111</v>
      </c>
      <c r="O105">
        <v>8.3867207717398369</v>
      </c>
      <c r="P105">
        <v>-144.72162792893951</v>
      </c>
      <c r="Q105">
        <v>329815318.98992473</v>
      </c>
      <c r="R105">
        <v>33970976847.408394</v>
      </c>
      <c r="S105">
        <v>15.308588588766984</v>
      </c>
      <c r="T105">
        <v>568.2307572248568</v>
      </c>
      <c r="U105">
        <v>329815318.98992473</v>
      </c>
      <c r="V105">
        <v>33970976847.408394</v>
      </c>
    </row>
    <row r="106" spans="8:22" x14ac:dyDescent="0.25">
      <c r="H106" s="38"/>
      <c r="I106" s="36">
        <v>0.29166666666666702</v>
      </c>
      <c r="J106" s="37">
        <v>16.208695652173915</v>
      </c>
      <c r="K106" s="34">
        <v>1.271198922744454</v>
      </c>
      <c r="L106">
        <v>-892.55787510489324</v>
      </c>
      <c r="M106">
        <v>3.8462182255288528</v>
      </c>
      <c r="N106">
        <v>-624.75586761531622</v>
      </c>
      <c r="O106">
        <v>8.3867207717398369</v>
      </c>
      <c r="P106">
        <v>-152.5436028093736</v>
      </c>
      <c r="Q106">
        <v>329815318.98992473</v>
      </c>
      <c r="R106">
        <v>34300792150.189625</v>
      </c>
      <c r="S106">
        <v>15.308588588766984</v>
      </c>
      <c r="T106">
        <v>567.33065016144985</v>
      </c>
      <c r="U106">
        <v>329815318.98992473</v>
      </c>
      <c r="V106">
        <v>34300792150.189625</v>
      </c>
    </row>
    <row r="107" spans="8:22" x14ac:dyDescent="0.25">
      <c r="H107" s="38"/>
      <c r="I107" s="36">
        <v>0.33333333333333298</v>
      </c>
      <c r="J107" s="37">
        <v>14.191304347826089</v>
      </c>
      <c r="K107" s="34">
        <v>1.271198922744454</v>
      </c>
      <c r="L107">
        <v>-905.47798052997484</v>
      </c>
      <c r="M107">
        <v>3.8462182255288528</v>
      </c>
      <c r="N107">
        <v>-635.10095373761351</v>
      </c>
      <c r="O107">
        <v>8.3867207717398369</v>
      </c>
      <c r="P107">
        <v>-158.34818638545985</v>
      </c>
      <c r="Q107">
        <v>329815318.98992473</v>
      </c>
      <c r="R107">
        <v>34630607454.988243</v>
      </c>
      <c r="S107">
        <v>15.308588588766984</v>
      </c>
      <c r="T107">
        <v>568.44793440239073</v>
      </c>
      <c r="U107">
        <v>329815318.98992473</v>
      </c>
      <c r="V107">
        <v>34630607454.988243</v>
      </c>
    </row>
    <row r="108" spans="8:22" x14ac:dyDescent="0.25">
      <c r="H108" s="38"/>
      <c r="I108" s="36">
        <v>0.375</v>
      </c>
      <c r="J108" s="37">
        <v>12.078260869565218</v>
      </c>
      <c r="K108" s="34">
        <v>1.271198922744454</v>
      </c>
      <c r="L108">
        <v>-916.28504247679564</v>
      </c>
      <c r="M108">
        <v>3.8462182255288528</v>
      </c>
      <c r="N108">
        <v>-643.33299638164988</v>
      </c>
      <c r="O108">
        <v>8.3867207717398369</v>
      </c>
      <c r="P108">
        <v>-162.03972648328522</v>
      </c>
      <c r="Q108">
        <v>329815318.98992473</v>
      </c>
      <c r="R108">
        <v>34960422761.89991</v>
      </c>
      <c r="S108">
        <v>15.308588588766984</v>
      </c>
      <c r="T108">
        <v>571.67826212159252</v>
      </c>
      <c r="U108">
        <v>329815318.98992473</v>
      </c>
      <c r="V108">
        <v>34960422761.89991</v>
      </c>
    </row>
    <row r="109" spans="8:22" x14ac:dyDescent="0.25">
      <c r="H109" s="38"/>
      <c r="I109" s="36">
        <v>0.41666666666666702</v>
      </c>
      <c r="J109" s="37">
        <v>11.373913043478261</v>
      </c>
      <c r="K109" s="34">
        <v>1.271198922744454</v>
      </c>
      <c r="L109">
        <v>-926.38775659752946</v>
      </c>
      <c r="M109">
        <v>3.8462182255288528</v>
      </c>
      <c r="N109">
        <v>-650.86069119959927</v>
      </c>
      <c r="O109">
        <v>8.3867207717398369</v>
      </c>
      <c r="P109">
        <v>-165.02691875502364</v>
      </c>
      <c r="Q109">
        <v>329815318.98992473</v>
      </c>
      <c r="R109">
        <v>35290238069.515923</v>
      </c>
      <c r="S109">
        <v>15.308588588766984</v>
      </c>
      <c r="T109">
        <v>575.61293766688129</v>
      </c>
      <c r="U109">
        <v>329815318.98992473</v>
      </c>
      <c r="V109">
        <v>35290238069.515923</v>
      </c>
    </row>
    <row r="110" spans="8:22" x14ac:dyDescent="0.25">
      <c r="H110" s="38"/>
      <c r="I110" s="36">
        <v>0.45833333333333298</v>
      </c>
      <c r="J110" s="37">
        <v>8.0978260869565215</v>
      </c>
      <c r="K110" s="34">
        <v>1.271198922744454</v>
      </c>
      <c r="L110">
        <v>-933.21438376174149</v>
      </c>
      <c r="M110">
        <v>3.8462182255288528</v>
      </c>
      <c r="N110">
        <v>-655.11229906102699</v>
      </c>
      <c r="O110">
        <v>8.3867207717398369</v>
      </c>
      <c r="P110">
        <v>-164.73802407024033</v>
      </c>
      <c r="Q110">
        <v>329815318.98992473</v>
      </c>
      <c r="R110">
        <v>35620053380.40802</v>
      </c>
      <c r="S110">
        <v>15.308588588766984</v>
      </c>
      <c r="T110">
        <v>582.82370016869174</v>
      </c>
      <c r="U110">
        <v>329815318.98992473</v>
      </c>
      <c r="V110">
        <v>35620053380.40802</v>
      </c>
    </row>
    <row r="111" spans="8:22" x14ac:dyDescent="0.25">
      <c r="H111" s="38"/>
      <c r="I111" s="36">
        <v>0.5</v>
      </c>
      <c r="J111" s="37">
        <v>8.3804347826086953</v>
      </c>
      <c r="K111" s="34">
        <v>1.271198922744454</v>
      </c>
      <c r="L111">
        <v>-940.32361962160576</v>
      </c>
      <c r="M111">
        <v>3.8462182255288528</v>
      </c>
      <c r="N111">
        <v>-659.64651561810683</v>
      </c>
      <c r="O111">
        <v>8.3867207717398369</v>
      </c>
      <c r="P111">
        <v>-164.7317380811092</v>
      </c>
      <c r="Q111">
        <v>329815318.98992473</v>
      </c>
      <c r="R111">
        <v>35949868691.017509</v>
      </c>
      <c r="S111">
        <v>15.308588588766984</v>
      </c>
      <c r="T111">
        <v>589.75185397485006</v>
      </c>
      <c r="U111">
        <v>329815318.98992473</v>
      </c>
      <c r="V111">
        <v>35949868691.017509</v>
      </c>
    </row>
    <row r="112" spans="8:22" x14ac:dyDescent="0.25">
      <c r="H112" s="38"/>
      <c r="I112" s="36">
        <v>0.54166666666666696</v>
      </c>
      <c r="J112" s="37">
        <v>10.072463768115943</v>
      </c>
      <c r="K112" s="34">
        <v>1.271198922744454</v>
      </c>
      <c r="L112">
        <v>-949.12488446697728</v>
      </c>
      <c r="M112">
        <v>3.8462182255288528</v>
      </c>
      <c r="N112">
        <v>-665.87276116069393</v>
      </c>
      <c r="O112">
        <v>8.3867207717398369</v>
      </c>
      <c r="P112">
        <v>-166.41748107748532</v>
      </c>
      <c r="Q112">
        <v>329815318.98992473</v>
      </c>
      <c r="R112">
        <v>36279683999.934967</v>
      </c>
      <c r="S112">
        <v>15.308588588766984</v>
      </c>
      <c r="T112">
        <v>594.98797879550114</v>
      </c>
      <c r="U112">
        <v>329815318.98992473</v>
      </c>
      <c r="V112">
        <v>36279683999.934967</v>
      </c>
    </row>
    <row r="113" spans="8:22" x14ac:dyDescent="0.25">
      <c r="H113" s="38"/>
      <c r="I113" s="36">
        <v>0.58333333333333304</v>
      </c>
      <c r="J113" s="37">
        <v>11.507246376811596</v>
      </c>
      <c r="K113" s="34">
        <v>1.271198922744454</v>
      </c>
      <c r="L113">
        <v>-959.36093192104443</v>
      </c>
      <c r="M113">
        <v>3.8462182255288528</v>
      </c>
      <c r="N113">
        <v>-673.53378931197665</v>
      </c>
      <c r="O113">
        <v>8.3867207717398369</v>
      </c>
      <c r="P113">
        <v>-169.53800668255707</v>
      </c>
      <c r="Q113">
        <v>329815318.98992473</v>
      </c>
      <c r="R113">
        <v>36609499307.417648</v>
      </c>
      <c r="S113">
        <v>15.308588588766984</v>
      </c>
      <c r="T113">
        <v>598.78932100745658</v>
      </c>
      <c r="U113">
        <v>329815318.98992473</v>
      </c>
      <c r="V113">
        <v>36609499307.417648</v>
      </c>
    </row>
    <row r="114" spans="8:22" x14ac:dyDescent="0.25">
      <c r="H114" s="38"/>
      <c r="I114" s="36">
        <v>0.625</v>
      </c>
      <c r="J114" s="37">
        <v>7.6782608695652179</v>
      </c>
      <c r="K114" s="34">
        <v>1.271198922744454</v>
      </c>
      <c r="L114">
        <v>-965.76799386786524</v>
      </c>
      <c r="M114">
        <v>3.8462182255288528</v>
      </c>
      <c r="N114">
        <v>-677.36583195601304</v>
      </c>
      <c r="O114">
        <v>8.3867207717398369</v>
      </c>
      <c r="P114">
        <v>-168.82954678038246</v>
      </c>
      <c r="Q114">
        <v>329815318.98992473</v>
      </c>
      <c r="R114">
        <v>36939314618.729309</v>
      </c>
      <c r="S114">
        <v>15.308588588766984</v>
      </c>
      <c r="T114">
        <v>606.41964872665835</v>
      </c>
      <c r="U114">
        <v>329815318.98992473</v>
      </c>
      <c r="V114">
        <v>36939314618.729309</v>
      </c>
    </row>
    <row r="115" spans="8:22" x14ac:dyDescent="0.25">
      <c r="H115" s="38"/>
      <c r="I115" s="36">
        <v>0.66666666666666696</v>
      </c>
      <c r="J115" s="37">
        <v>6.3347826086956527</v>
      </c>
      <c r="K115" s="34">
        <v>1.271198922744454</v>
      </c>
      <c r="L115">
        <v>-970.83157755381649</v>
      </c>
      <c r="M115">
        <v>3.8462182255288528</v>
      </c>
      <c r="N115">
        <v>-679.85439633917986</v>
      </c>
      <c r="O115">
        <v>8.3867207717398369</v>
      </c>
      <c r="P115">
        <v>-166.77760861733827</v>
      </c>
      <c r="Q115">
        <v>329815318.98992473</v>
      </c>
      <c r="R115">
        <v>37269129931.384453</v>
      </c>
      <c r="S115">
        <v>15.308588588766984</v>
      </c>
      <c r="T115">
        <v>615.3934547067297</v>
      </c>
      <c r="U115">
        <v>329815318.98992473</v>
      </c>
      <c r="V115">
        <v>37269129931.384453</v>
      </c>
    </row>
    <row r="116" spans="8:22" x14ac:dyDescent="0.25">
      <c r="H116" s="38"/>
      <c r="I116" s="36">
        <v>0.70833333333333304</v>
      </c>
      <c r="J116" s="37">
        <v>5.6782608695652179</v>
      </c>
      <c r="K116" s="34">
        <v>1.271198922744454</v>
      </c>
      <c r="L116">
        <v>-975.2386395006373</v>
      </c>
      <c r="M116">
        <v>3.8462182255288528</v>
      </c>
      <c r="N116">
        <v>-681.68643898321625</v>
      </c>
      <c r="O116">
        <v>8.3867207717398369</v>
      </c>
      <c r="P116">
        <v>-164.06914871516366</v>
      </c>
      <c r="Q116">
        <v>329815318.98992473</v>
      </c>
      <c r="R116">
        <v>37598945244.696114</v>
      </c>
      <c r="S116">
        <v>15.308588588766984</v>
      </c>
      <c r="T116">
        <v>625.02378242593147</v>
      </c>
      <c r="U116">
        <v>329815318.98992473</v>
      </c>
      <c r="V116">
        <v>37598945244.696114</v>
      </c>
    </row>
    <row r="117" spans="8:22" x14ac:dyDescent="0.25">
      <c r="H117" s="38"/>
      <c r="I117" s="36">
        <v>0.75</v>
      </c>
      <c r="J117" s="37">
        <v>13.547826086956523</v>
      </c>
      <c r="K117" s="34">
        <v>1.271198922744454</v>
      </c>
      <c r="L117">
        <v>-987.51526666484938</v>
      </c>
      <c r="M117">
        <v>3.8462182255288528</v>
      </c>
      <c r="N117">
        <v>-691.3880468446439</v>
      </c>
      <c r="O117">
        <v>8.3867207717398369</v>
      </c>
      <c r="P117">
        <v>-169.23025403038034</v>
      </c>
      <c r="Q117">
        <v>329815318.98992473</v>
      </c>
      <c r="R117">
        <v>37928760550.138214</v>
      </c>
      <c r="S117">
        <v>15.308588588766984</v>
      </c>
      <c r="T117">
        <v>626.78454492774199</v>
      </c>
      <c r="U117">
        <v>329815318.98992473</v>
      </c>
      <c r="V117">
        <v>37928760550.138214</v>
      </c>
    </row>
    <row r="118" spans="8:22" x14ac:dyDescent="0.25">
      <c r="H118" s="38"/>
      <c r="I118" s="36">
        <v>0.79166666666666696</v>
      </c>
      <c r="J118" s="37">
        <v>11.521739130434783</v>
      </c>
      <c r="K118" s="34">
        <v>1.271198922744454</v>
      </c>
      <c r="L118">
        <v>-997.76580687253966</v>
      </c>
      <c r="M118">
        <v>3.8462182255288528</v>
      </c>
      <c r="N118">
        <v>-699.06356774954986</v>
      </c>
      <c r="O118">
        <v>8.3867207717398369</v>
      </c>
      <c r="P118">
        <v>-172.36527238907527</v>
      </c>
      <c r="Q118">
        <v>329815318.98992473</v>
      </c>
      <c r="R118">
        <v>38258575857.6064</v>
      </c>
      <c r="S118">
        <v>15.308588588766984</v>
      </c>
      <c r="T118">
        <v>630.57139438607419</v>
      </c>
      <c r="U118">
        <v>329815318.98992473</v>
      </c>
      <c r="V118">
        <v>38258575857.6064</v>
      </c>
    </row>
    <row r="119" spans="8:22" x14ac:dyDescent="0.25">
      <c r="H119" s="38"/>
      <c r="I119" s="36">
        <v>0.83333333333333304</v>
      </c>
      <c r="J119" s="37">
        <v>12.53913043478261</v>
      </c>
      <c r="K119" s="34">
        <v>1.271198922744454</v>
      </c>
      <c r="L119">
        <v>-1009.0337383845778</v>
      </c>
      <c r="M119">
        <v>3.8462182255288528</v>
      </c>
      <c r="N119">
        <v>-707.75647995880365</v>
      </c>
      <c r="O119">
        <v>8.3867207717398369</v>
      </c>
      <c r="P119">
        <v>-176.51768205211803</v>
      </c>
      <c r="Q119">
        <v>329815318.98992473</v>
      </c>
      <c r="R119">
        <v>38588391164.057198</v>
      </c>
      <c r="S119">
        <v>15.308588588766984</v>
      </c>
      <c r="T119">
        <v>633.34085254005856</v>
      </c>
      <c r="U119">
        <v>329815318.98992473</v>
      </c>
      <c r="V119">
        <v>38588391164.057198</v>
      </c>
    </row>
    <row r="120" spans="8:22" x14ac:dyDescent="0.25">
      <c r="H120" s="38"/>
      <c r="I120" s="36">
        <v>0.875</v>
      </c>
      <c r="J120" s="37">
        <v>13.2</v>
      </c>
      <c r="K120" s="34">
        <v>1.271198922744454</v>
      </c>
      <c r="L120">
        <v>-1020.9625394618333</v>
      </c>
      <c r="M120">
        <v>3.8462182255288528</v>
      </c>
      <c r="N120">
        <v>-717.1102617332748</v>
      </c>
      <c r="O120">
        <v>8.3867207717398369</v>
      </c>
      <c r="P120">
        <v>-181.3309612803782</v>
      </c>
      <c r="Q120">
        <v>329815318.98992473</v>
      </c>
      <c r="R120">
        <v>38918206469.847122</v>
      </c>
      <c r="S120">
        <v>15.308588588766984</v>
      </c>
      <c r="T120">
        <v>635.44944112882558</v>
      </c>
      <c r="U120">
        <v>329815318.98992473</v>
      </c>
      <c r="V120">
        <v>38918206469.847122</v>
      </c>
    </row>
    <row r="121" spans="8:22" x14ac:dyDescent="0.25">
      <c r="H121" s="38"/>
      <c r="I121" s="36">
        <v>0.91666666666666696</v>
      </c>
      <c r="J121" s="37">
        <v>5.7260869565217396</v>
      </c>
      <c r="K121" s="34">
        <v>1.271198922744454</v>
      </c>
      <c r="L121">
        <v>-1025.4174274956106</v>
      </c>
      <c r="M121">
        <v>3.8462182255288528</v>
      </c>
      <c r="N121">
        <v>-718.99013046426774</v>
      </c>
      <c r="O121">
        <v>8.3867207717398369</v>
      </c>
      <c r="P121">
        <v>-178.67032746516011</v>
      </c>
      <c r="Q121">
        <v>329815318.98992473</v>
      </c>
      <c r="R121">
        <v>39248021783.110962</v>
      </c>
      <c r="S121">
        <v>15.308588588766984</v>
      </c>
      <c r="T121">
        <v>645.03194276107081</v>
      </c>
      <c r="U121">
        <v>329815318.98992473</v>
      </c>
      <c r="V121">
        <v>39248021783.110962</v>
      </c>
    </row>
    <row r="122" spans="8:22" x14ac:dyDescent="0.25">
      <c r="H122" s="34"/>
      <c r="I122" s="36">
        <v>0.95833333333333304</v>
      </c>
      <c r="J122" s="37">
        <v>5.2652173913043478</v>
      </c>
      <c r="K122" s="34">
        <v>1.271198922744454</v>
      </c>
      <c r="L122">
        <v>-1029.4114459641705</v>
      </c>
      <c r="M122">
        <v>3.8462182255288528</v>
      </c>
      <c r="N122">
        <v>-720.40912963004325</v>
      </c>
      <c r="O122">
        <v>8.3867207717398369</v>
      </c>
      <c r="P122">
        <v>-175.54882408472463</v>
      </c>
      <c r="Q122">
        <v>329815318.98992473</v>
      </c>
      <c r="R122">
        <v>39577837096.83567</v>
      </c>
      <c r="S122">
        <v>15.308588588766984</v>
      </c>
      <c r="T122">
        <v>655.07531395853346</v>
      </c>
      <c r="U122">
        <v>329815318.98992473</v>
      </c>
      <c r="V122">
        <v>39577837096.83567</v>
      </c>
    </row>
    <row r="123" spans="8:22" x14ac:dyDescent="0.25">
      <c r="H123" s="35" t="s">
        <v>7</v>
      </c>
      <c r="I123" s="36">
        <v>0</v>
      </c>
      <c r="J123" s="37">
        <v>2.8565217391304301</v>
      </c>
      <c r="K123" s="34">
        <v>1.271198922744454</v>
      </c>
      <c r="L123">
        <v>-1030.9967687805565</v>
      </c>
      <c r="M123">
        <v>3.8462182255288528</v>
      </c>
      <c r="N123">
        <v>-719.41943314364482</v>
      </c>
      <c r="O123">
        <v>8.3867207717398369</v>
      </c>
      <c r="P123">
        <v>-170.01862505211523</v>
      </c>
      <c r="Q123">
        <v>329815318.98992473</v>
      </c>
      <c r="R123">
        <v>39907652412.96907</v>
      </c>
      <c r="S123">
        <v>15.308588588766984</v>
      </c>
      <c r="T123">
        <v>667.52738080817005</v>
      </c>
      <c r="U123">
        <v>329815318.98992473</v>
      </c>
      <c r="V123">
        <v>39907652412.96907</v>
      </c>
    </row>
    <row r="124" spans="8:22" x14ac:dyDescent="0.25">
      <c r="H124" s="38"/>
      <c r="I124" s="36">
        <v>4.1666666666666699E-2</v>
      </c>
      <c r="J124" s="37">
        <v>2.58</v>
      </c>
      <c r="K124" s="34">
        <v>1.271198922744454</v>
      </c>
      <c r="L124">
        <v>-1032.3055698578121</v>
      </c>
      <c r="M124">
        <v>3.8462182255288528</v>
      </c>
      <c r="N124">
        <v>-718.15321491811596</v>
      </c>
      <c r="O124">
        <v>8.3867207717398369</v>
      </c>
      <c r="P124">
        <v>-164.21190428037539</v>
      </c>
      <c r="Q124">
        <v>329815318.98992473</v>
      </c>
      <c r="R124">
        <v>40237467729.378998</v>
      </c>
      <c r="S124">
        <v>15.308588588766984</v>
      </c>
      <c r="T124">
        <v>680.25596939693708</v>
      </c>
      <c r="U124">
        <v>329815318.98992473</v>
      </c>
      <c r="V124">
        <v>40237467729.378998</v>
      </c>
    </row>
    <row r="125" spans="8:22" x14ac:dyDescent="0.25">
      <c r="H125" s="38"/>
      <c r="I125" s="36">
        <v>8.3333333333333301E-2</v>
      </c>
      <c r="J125" s="37">
        <v>3.27</v>
      </c>
      <c r="K125" s="34">
        <v>1.271198922744454</v>
      </c>
      <c r="L125">
        <v>-1034.3043709350677</v>
      </c>
      <c r="M125">
        <v>3.8462182255288528</v>
      </c>
      <c r="N125">
        <v>-717.57699669258716</v>
      </c>
      <c r="O125">
        <v>8.3867207717398369</v>
      </c>
      <c r="P125">
        <v>-159.09518350863556</v>
      </c>
      <c r="Q125">
        <v>329815318.98992473</v>
      </c>
      <c r="R125">
        <v>40567283045.098923</v>
      </c>
      <c r="S125">
        <v>15.308588588766984</v>
      </c>
      <c r="T125">
        <v>692.29455798570405</v>
      </c>
      <c r="U125">
        <v>329815318.98992473</v>
      </c>
      <c r="V125">
        <v>40567283045.098923</v>
      </c>
    </row>
    <row r="126" spans="8:22" x14ac:dyDescent="0.25">
      <c r="H126" s="38"/>
      <c r="I126" s="36">
        <v>0.125</v>
      </c>
      <c r="J126" s="37">
        <v>3.3133333333333299</v>
      </c>
      <c r="K126" s="34">
        <v>1.271198922744454</v>
      </c>
      <c r="L126">
        <v>-1036.3465053456566</v>
      </c>
      <c r="M126">
        <v>3.8462182255288528</v>
      </c>
      <c r="N126">
        <v>-717.04411180039165</v>
      </c>
      <c r="O126">
        <v>8.3867207717398369</v>
      </c>
      <c r="P126">
        <v>-154.02179607022904</v>
      </c>
      <c r="Q126">
        <v>329815318.98992473</v>
      </c>
      <c r="R126">
        <v>40897098360.775513</v>
      </c>
      <c r="S126">
        <v>15.308588588766984</v>
      </c>
      <c r="T126">
        <v>704.28981324113772</v>
      </c>
      <c r="U126">
        <v>329815318.98992473</v>
      </c>
      <c r="V126">
        <v>40897098360.775513</v>
      </c>
    </row>
    <row r="127" spans="8:22" x14ac:dyDescent="0.25">
      <c r="H127" s="38"/>
      <c r="I127" s="36">
        <v>0.16666666666666699</v>
      </c>
      <c r="J127" s="37">
        <v>3.4166666666666701</v>
      </c>
      <c r="K127" s="34">
        <v>1.271198922744454</v>
      </c>
      <c r="L127">
        <v>-1038.4919730895788</v>
      </c>
      <c r="M127">
        <v>3.8462182255288528</v>
      </c>
      <c r="N127">
        <v>-716.61456024152949</v>
      </c>
      <c r="O127">
        <v>8.3867207717398369</v>
      </c>
      <c r="P127">
        <v>-149.05174196515588</v>
      </c>
      <c r="Q127">
        <v>329815318.98992473</v>
      </c>
      <c r="R127">
        <v>41226913676.34877</v>
      </c>
      <c r="S127">
        <v>15.308588588766984</v>
      </c>
      <c r="T127">
        <v>716.18173516323805</v>
      </c>
      <c r="U127">
        <v>329815318.98992473</v>
      </c>
      <c r="V127">
        <v>41226913676.34877</v>
      </c>
    </row>
    <row r="128" spans="8:22" x14ac:dyDescent="0.25">
      <c r="H128" s="38"/>
      <c r="I128" s="36">
        <v>0.20833333333333301</v>
      </c>
      <c r="J128" s="37">
        <v>4.0166666666666702</v>
      </c>
      <c r="K128" s="34">
        <v>1.271198922744454</v>
      </c>
      <c r="L128">
        <v>-1041.2374408335011</v>
      </c>
      <c r="M128">
        <v>3.8462182255288528</v>
      </c>
      <c r="N128">
        <v>-716.78500868266735</v>
      </c>
      <c r="O128">
        <v>8.3867207717398369</v>
      </c>
      <c r="P128">
        <v>-144.68168786008272</v>
      </c>
      <c r="Q128">
        <v>329815318.98992473</v>
      </c>
      <c r="R128">
        <v>41556728991.322029</v>
      </c>
      <c r="S128">
        <v>15.308588588766984</v>
      </c>
      <c r="T128">
        <v>727.47365708533835</v>
      </c>
      <c r="U128">
        <v>329815318.98992473</v>
      </c>
      <c r="V128">
        <v>41556728991.322029</v>
      </c>
    </row>
    <row r="129" spans="8:22" x14ac:dyDescent="0.25">
      <c r="H129" s="38"/>
      <c r="I129" s="36">
        <v>0.25</v>
      </c>
      <c r="J129" s="37">
        <v>4.58</v>
      </c>
      <c r="K129" s="34">
        <v>1.271198922744454</v>
      </c>
      <c r="L129">
        <v>-1044.5462419107566</v>
      </c>
      <c r="M129">
        <v>3.8462182255288528</v>
      </c>
      <c r="N129">
        <v>-717.51879045713849</v>
      </c>
      <c r="O129">
        <v>8.3867207717398369</v>
      </c>
      <c r="P129">
        <v>-140.87496708834288</v>
      </c>
      <c r="Q129">
        <v>329815318.98992473</v>
      </c>
      <c r="R129">
        <v>41886544305.731956</v>
      </c>
      <c r="S129">
        <v>15.308588588766984</v>
      </c>
      <c r="T129">
        <v>738.20224567410537</v>
      </c>
      <c r="U129">
        <v>329815318.98992473</v>
      </c>
      <c r="V129">
        <v>41886544305.731956</v>
      </c>
    </row>
    <row r="130" spans="8:22" x14ac:dyDescent="0.25">
      <c r="H130" s="38"/>
      <c r="I130" s="36">
        <v>0.29166666666666702</v>
      </c>
      <c r="J130" s="37">
        <v>4.58</v>
      </c>
      <c r="K130" s="34">
        <v>1.271198922744454</v>
      </c>
      <c r="L130">
        <v>-1047.8550429880122</v>
      </c>
      <c r="M130">
        <v>3.8462182255288528</v>
      </c>
      <c r="N130">
        <v>-718.25257223160963</v>
      </c>
      <c r="O130">
        <v>8.3867207717398369</v>
      </c>
      <c r="P130">
        <v>-137.06824631660305</v>
      </c>
      <c r="Q130">
        <v>329815318.98992473</v>
      </c>
      <c r="R130">
        <v>42216359620.141884</v>
      </c>
      <c r="S130">
        <v>15.308588588766984</v>
      </c>
      <c r="T130">
        <v>748.93083426287239</v>
      </c>
      <c r="U130">
        <v>329815318.98992473</v>
      </c>
      <c r="V130">
        <v>42216359620.141884</v>
      </c>
    </row>
    <row r="131" spans="8:22" x14ac:dyDescent="0.25">
      <c r="H131" s="38"/>
      <c r="I131" s="36">
        <v>0.33333333333333298</v>
      </c>
      <c r="J131" s="37">
        <v>5.23</v>
      </c>
      <c r="K131" s="34">
        <v>1.271198922744454</v>
      </c>
      <c r="L131">
        <v>-1051.8138440652679</v>
      </c>
      <c r="M131">
        <v>3.8462182255288528</v>
      </c>
      <c r="N131">
        <v>-719.63635400608075</v>
      </c>
      <c r="O131">
        <v>8.3867207717398369</v>
      </c>
      <c r="P131">
        <v>-133.91152554486322</v>
      </c>
      <c r="Q131">
        <v>329815318.98992473</v>
      </c>
      <c r="R131">
        <v>42546174933.90181</v>
      </c>
      <c r="S131">
        <v>15.308588588766984</v>
      </c>
      <c r="T131">
        <v>759.00942285163933</v>
      </c>
      <c r="U131">
        <v>329815318.98992473</v>
      </c>
      <c r="V131">
        <v>42546174933.90181</v>
      </c>
    </row>
    <row r="132" spans="8:22" x14ac:dyDescent="0.25">
      <c r="H132" s="38"/>
      <c r="I132" s="36">
        <v>0.375</v>
      </c>
      <c r="J132" s="37">
        <v>9.0399999999999991</v>
      </c>
      <c r="K132" s="34">
        <v>1.271198922744454</v>
      </c>
      <c r="L132">
        <v>-1059.5826451425235</v>
      </c>
      <c r="M132">
        <v>3.8462182255288528</v>
      </c>
      <c r="N132">
        <v>-724.83013578055193</v>
      </c>
      <c r="O132">
        <v>8.3867207717398369</v>
      </c>
      <c r="P132">
        <v>-134.5648047731234</v>
      </c>
      <c r="Q132">
        <v>329815318.98992473</v>
      </c>
      <c r="R132">
        <v>42875990243.851738</v>
      </c>
      <c r="S132">
        <v>15.308588588766984</v>
      </c>
      <c r="T132">
        <v>765.27801144040632</v>
      </c>
      <c r="U132">
        <v>329815318.98992473</v>
      </c>
      <c r="V132">
        <v>42875990243.851738</v>
      </c>
    </row>
    <row r="133" spans="8:22" x14ac:dyDescent="0.25">
      <c r="H133" s="38"/>
      <c r="I133" s="36">
        <v>0.41666666666666702</v>
      </c>
      <c r="J133" s="37">
        <v>8.5299999999999994</v>
      </c>
      <c r="K133" s="34">
        <v>1.271198922744454</v>
      </c>
      <c r="L133">
        <v>-1066.8414462197791</v>
      </c>
      <c r="M133">
        <v>3.8462182255288528</v>
      </c>
      <c r="N133">
        <v>-729.51391755502311</v>
      </c>
      <c r="O133">
        <v>8.3867207717398369</v>
      </c>
      <c r="P133">
        <v>-134.70808400138355</v>
      </c>
      <c r="Q133">
        <v>329815318.98992473</v>
      </c>
      <c r="R133">
        <v>43205805554.311661</v>
      </c>
      <c r="S133">
        <v>15.308588588766984</v>
      </c>
      <c r="T133">
        <v>772.0566000291733</v>
      </c>
      <c r="U133">
        <v>329815318.98992473</v>
      </c>
      <c r="V133">
        <v>43205805554.311661</v>
      </c>
    </row>
    <row r="134" spans="8:22" x14ac:dyDescent="0.25">
      <c r="H134" s="38"/>
      <c r="I134" s="36">
        <v>0.45833333333333298</v>
      </c>
      <c r="J134" s="37">
        <v>9.5666666666666664</v>
      </c>
      <c r="K134" s="34">
        <v>1.271198922744454</v>
      </c>
      <c r="L134">
        <v>-1075.1369139637013</v>
      </c>
      <c r="M134">
        <v>3.8462182255288528</v>
      </c>
      <c r="N134">
        <v>-735.23436599616093</v>
      </c>
      <c r="O134">
        <v>8.3867207717398369</v>
      </c>
      <c r="P134">
        <v>-135.88802989631037</v>
      </c>
      <c r="Q134">
        <v>329815318.98992473</v>
      </c>
      <c r="R134">
        <v>43535620863.734917</v>
      </c>
      <c r="S134">
        <v>15.308588588766984</v>
      </c>
      <c r="T134">
        <v>777.79852195127364</v>
      </c>
      <c r="U134">
        <v>329815318.98992473</v>
      </c>
      <c r="V134">
        <v>43535620863.734917</v>
      </c>
    </row>
    <row r="135" spans="8:22" x14ac:dyDescent="0.25">
      <c r="H135" s="38"/>
      <c r="I135" s="36">
        <v>0.5</v>
      </c>
      <c r="J135" s="37">
        <v>8.4533333333333296</v>
      </c>
      <c r="K135" s="34">
        <v>1.271198922744454</v>
      </c>
      <c r="L135">
        <v>-1082.3190483742901</v>
      </c>
      <c r="M135">
        <v>3.8462182255288528</v>
      </c>
      <c r="N135">
        <v>-739.84148110396541</v>
      </c>
      <c r="O135">
        <v>8.3867207717398369</v>
      </c>
      <c r="P135">
        <v>-135.95464245790387</v>
      </c>
      <c r="Q135">
        <v>329815318.98992473</v>
      </c>
      <c r="R135">
        <v>43865436174.271507</v>
      </c>
      <c r="S135">
        <v>15.308588588766984</v>
      </c>
      <c r="T135">
        <v>784.65377720670733</v>
      </c>
      <c r="U135">
        <v>329815318.98992473</v>
      </c>
      <c r="V135">
        <v>43865436174.271507</v>
      </c>
    </row>
    <row r="136" spans="8:22" x14ac:dyDescent="0.25">
      <c r="H136" s="38"/>
      <c r="I136" s="36">
        <v>0.54166666666666696</v>
      </c>
      <c r="J136" s="37">
        <v>10.373333333333299</v>
      </c>
      <c r="K136" s="34">
        <v>1.271198922744454</v>
      </c>
      <c r="L136">
        <v>-1091.421182784879</v>
      </c>
      <c r="M136">
        <v>3.8462182255288528</v>
      </c>
      <c r="N136">
        <v>-746.36859621176984</v>
      </c>
      <c r="O136">
        <v>8.3867207717398369</v>
      </c>
      <c r="P136">
        <v>-137.94125501949733</v>
      </c>
      <c r="Q136">
        <v>329815318.98992473</v>
      </c>
      <c r="R136">
        <v>44195251482.8881</v>
      </c>
      <c r="S136">
        <v>15.308588588766984</v>
      </c>
      <c r="T136">
        <v>789.58903246214106</v>
      </c>
      <c r="U136">
        <v>329815318.98992473</v>
      </c>
      <c r="V136">
        <v>44195251482.8881</v>
      </c>
    </row>
    <row r="137" spans="8:22" x14ac:dyDescent="0.25">
      <c r="H137" s="38"/>
      <c r="I137" s="36">
        <v>0.58333333333333304</v>
      </c>
      <c r="J137" s="37">
        <v>10.6133333333333</v>
      </c>
      <c r="K137" s="34">
        <v>1.271198922744454</v>
      </c>
      <c r="L137">
        <v>-1100.7633171954678</v>
      </c>
      <c r="M137">
        <v>3.8462182255288528</v>
      </c>
      <c r="N137">
        <v>-753.13571131957428</v>
      </c>
      <c r="O137">
        <v>8.3867207717398369</v>
      </c>
      <c r="P137">
        <v>-140.1678675810908</v>
      </c>
      <c r="Q137">
        <v>329815318.98992473</v>
      </c>
      <c r="R137">
        <v>44525066791.264694</v>
      </c>
      <c r="S137">
        <v>15.308588588766984</v>
      </c>
      <c r="T137">
        <v>794.28428771757478</v>
      </c>
      <c r="U137">
        <v>329815318.98992473</v>
      </c>
      <c r="V137">
        <v>44525066791.264694</v>
      </c>
    </row>
    <row r="138" spans="8:22" x14ac:dyDescent="0.25">
      <c r="H138" s="38"/>
      <c r="I138" s="36">
        <v>0.625</v>
      </c>
      <c r="J138" s="37">
        <v>10.86</v>
      </c>
      <c r="K138" s="34">
        <v>1.271198922744454</v>
      </c>
      <c r="L138">
        <v>-1110.3521182727234</v>
      </c>
      <c r="M138">
        <v>3.8462182255288528</v>
      </c>
      <c r="N138">
        <v>-760.1494930940454</v>
      </c>
      <c r="O138">
        <v>8.3867207717398369</v>
      </c>
      <c r="P138">
        <v>-142.64114680935097</v>
      </c>
      <c r="Q138">
        <v>329815318.98992473</v>
      </c>
      <c r="R138">
        <v>44854882099.394615</v>
      </c>
      <c r="S138">
        <v>15.308588588766984</v>
      </c>
      <c r="T138">
        <v>798.73287630634172</v>
      </c>
      <c r="U138">
        <v>329815318.98992473</v>
      </c>
      <c r="V138">
        <v>44854882099.394615</v>
      </c>
    </row>
    <row r="139" spans="8:22" x14ac:dyDescent="0.25">
      <c r="H139" s="38"/>
      <c r="I139" s="36">
        <v>0.66666666666666696</v>
      </c>
      <c r="J139" s="37">
        <v>11.7</v>
      </c>
      <c r="K139" s="34">
        <v>1.271198922744454</v>
      </c>
      <c r="L139">
        <v>-1120.7809193499788</v>
      </c>
      <c r="M139">
        <v>3.8462182255288528</v>
      </c>
      <c r="N139">
        <v>-768.00327486851654</v>
      </c>
      <c r="O139">
        <v>8.3867207717398369</v>
      </c>
      <c r="P139">
        <v>-145.95442603761114</v>
      </c>
      <c r="Q139">
        <v>329815318.98992473</v>
      </c>
      <c r="R139">
        <v>45184697406.68454</v>
      </c>
      <c r="S139">
        <v>15.308588588766984</v>
      </c>
      <c r="T139">
        <v>802.34146489510874</v>
      </c>
      <c r="U139">
        <v>329815318.98992473</v>
      </c>
      <c r="V139">
        <v>45184697406.68454</v>
      </c>
    </row>
    <row r="140" spans="8:22" x14ac:dyDescent="0.25">
      <c r="H140" s="38"/>
      <c r="I140" s="36">
        <v>0.70833333333333304</v>
      </c>
      <c r="J140" s="37">
        <v>11.353333333333333</v>
      </c>
      <c r="K140" s="34">
        <v>1.271198922744454</v>
      </c>
      <c r="L140">
        <v>-1130.8630537605677</v>
      </c>
      <c r="M140">
        <v>3.8462182255288528</v>
      </c>
      <c r="N140">
        <v>-775.51038997632099</v>
      </c>
      <c r="O140">
        <v>8.3867207717398369</v>
      </c>
      <c r="P140">
        <v>-148.92103859920465</v>
      </c>
      <c r="Q140">
        <v>329815318.98992473</v>
      </c>
      <c r="R140">
        <v>45514512714.321129</v>
      </c>
      <c r="S140">
        <v>15.308588588766984</v>
      </c>
      <c r="T140">
        <v>806.29672015054234</v>
      </c>
      <c r="U140">
        <v>329815318.98992473</v>
      </c>
      <c r="V140">
        <v>45514512714.321129</v>
      </c>
    </row>
    <row r="141" spans="8:22" x14ac:dyDescent="0.25">
      <c r="H141" s="38"/>
      <c r="I141" s="36">
        <v>0.75</v>
      </c>
      <c r="J141" s="37">
        <v>11.52</v>
      </c>
      <c r="K141" s="34">
        <v>1.271198922744454</v>
      </c>
      <c r="L141">
        <v>-1141.1118548378233</v>
      </c>
      <c r="M141">
        <v>3.8462182255288528</v>
      </c>
      <c r="N141">
        <v>-783.18417175079219</v>
      </c>
      <c r="O141">
        <v>8.3867207717398369</v>
      </c>
      <c r="P141">
        <v>-152.05431782746481</v>
      </c>
      <c r="Q141">
        <v>329815318.98992473</v>
      </c>
      <c r="R141">
        <v>45844328021.791054</v>
      </c>
      <c r="S141">
        <v>15.308588588766984</v>
      </c>
      <c r="T141">
        <v>810.08530873930931</v>
      </c>
      <c r="U141">
        <v>329815318.98992473</v>
      </c>
      <c r="V141">
        <v>45844328021.791054</v>
      </c>
    </row>
    <row r="142" spans="8:22" x14ac:dyDescent="0.25">
      <c r="H142" s="38"/>
      <c r="I142" s="36">
        <v>0.79166666666666696</v>
      </c>
      <c r="J142" s="37">
        <v>12.126666666666667</v>
      </c>
      <c r="K142" s="34">
        <v>1.271198922744454</v>
      </c>
      <c r="L142">
        <v>-1151.9673225817455</v>
      </c>
      <c r="M142">
        <v>3.8462182255288528</v>
      </c>
      <c r="N142">
        <v>-791.46462019192995</v>
      </c>
      <c r="O142">
        <v>8.3867207717398369</v>
      </c>
      <c r="P142">
        <v>-155.79426372239163</v>
      </c>
      <c r="Q142">
        <v>329815318.98992473</v>
      </c>
      <c r="R142">
        <v>46174143328.654312</v>
      </c>
      <c r="S142">
        <v>15.308588588766984</v>
      </c>
      <c r="T142">
        <v>813.2672306614096</v>
      </c>
      <c r="U142">
        <v>329815318.98992473</v>
      </c>
      <c r="V142">
        <v>46174143328.654312</v>
      </c>
    </row>
    <row r="143" spans="8:22" x14ac:dyDescent="0.25">
      <c r="H143" s="38"/>
      <c r="I143" s="36">
        <v>0.83333333333333304</v>
      </c>
      <c r="J143" s="37">
        <v>11.886666666666665</v>
      </c>
      <c r="K143" s="34">
        <v>1.271198922744454</v>
      </c>
      <c r="L143">
        <v>-1162.5827903256677</v>
      </c>
      <c r="M143">
        <v>3.8462182255288528</v>
      </c>
      <c r="N143">
        <v>-799.50506863306782</v>
      </c>
      <c r="O143">
        <v>8.3867207717398369</v>
      </c>
      <c r="P143">
        <v>-159.29420961731847</v>
      </c>
      <c r="Q143">
        <v>329815318.98992473</v>
      </c>
      <c r="R143">
        <v>46503958635.757568</v>
      </c>
      <c r="S143">
        <v>15.308588588766984</v>
      </c>
      <c r="T143">
        <v>816.68915258350989</v>
      </c>
      <c r="U143">
        <v>329815318.98992473</v>
      </c>
      <c r="V143">
        <v>46503958635.757568</v>
      </c>
    </row>
    <row r="144" spans="8:22" x14ac:dyDescent="0.25">
      <c r="H144" s="38"/>
      <c r="I144" s="36">
        <v>0.875</v>
      </c>
      <c r="J144" s="37">
        <v>6.043333333333333</v>
      </c>
      <c r="K144" s="34">
        <v>1.271198922744454</v>
      </c>
      <c r="L144">
        <v>-1167.3549247362566</v>
      </c>
      <c r="M144">
        <v>3.8462182255288528</v>
      </c>
      <c r="N144">
        <v>-801.70218374087233</v>
      </c>
      <c r="O144">
        <v>8.3867207717398369</v>
      </c>
      <c r="P144">
        <v>-156.95082217891198</v>
      </c>
      <c r="Q144">
        <v>329815318.98992473</v>
      </c>
      <c r="R144">
        <v>46833773948.704163</v>
      </c>
      <c r="S144">
        <v>15.308588588766984</v>
      </c>
      <c r="T144">
        <v>825.95440783894355</v>
      </c>
      <c r="U144">
        <v>329815318.98992473</v>
      </c>
      <c r="V144">
        <v>46833773948.704163</v>
      </c>
    </row>
    <row r="145" spans="8:22" x14ac:dyDescent="0.25">
      <c r="H145" s="38"/>
      <c r="I145" s="36">
        <v>0.91666666666666696</v>
      </c>
      <c r="J145" s="37">
        <v>6.11</v>
      </c>
      <c r="K145" s="34">
        <v>1.271198922744454</v>
      </c>
      <c r="L145">
        <v>-1172.1937258135122</v>
      </c>
      <c r="M145">
        <v>3.8462182255288528</v>
      </c>
      <c r="N145">
        <v>-803.96596551534344</v>
      </c>
      <c r="O145">
        <v>8.3867207717398369</v>
      </c>
      <c r="P145">
        <v>-154.67410140717215</v>
      </c>
      <c r="Q145">
        <v>329815318.98992473</v>
      </c>
      <c r="R145">
        <v>47163589261.584084</v>
      </c>
      <c r="S145">
        <v>15.308588588766984</v>
      </c>
      <c r="T145">
        <v>835.15299642771049</v>
      </c>
      <c r="U145">
        <v>329815318.98992473</v>
      </c>
      <c r="V145">
        <v>47163589261.584084</v>
      </c>
    </row>
    <row r="146" spans="8:22" x14ac:dyDescent="0.25">
      <c r="H146" s="34"/>
      <c r="I146" s="36">
        <v>0.95833333333333304</v>
      </c>
      <c r="J146" s="37">
        <v>5.5933333333333337</v>
      </c>
      <c r="K146" s="34">
        <v>1.271198922744454</v>
      </c>
      <c r="L146">
        <v>-1176.5158602241011</v>
      </c>
      <c r="M146">
        <v>3.8462182255288528</v>
      </c>
      <c r="N146">
        <v>-805.7130806231479</v>
      </c>
      <c r="O146">
        <v>8.3867207717398369</v>
      </c>
      <c r="P146">
        <v>-151.88071396876563</v>
      </c>
      <c r="Q146">
        <v>329815318.98992473</v>
      </c>
      <c r="R146">
        <v>47493404574.980675</v>
      </c>
      <c r="S146">
        <v>15.308588588766984</v>
      </c>
      <c r="T146">
        <v>844.86825168314419</v>
      </c>
      <c r="U146">
        <v>329815318.98992473</v>
      </c>
      <c r="V146">
        <v>47493404574.980675</v>
      </c>
    </row>
    <row r="147" spans="8:22" x14ac:dyDescent="0.25">
      <c r="H147" s="35" t="s">
        <v>8</v>
      </c>
      <c r="I147" s="36">
        <v>0</v>
      </c>
      <c r="J147" s="37">
        <v>2.73</v>
      </c>
      <c r="K147" s="34">
        <v>1.271198922744454</v>
      </c>
      <c r="L147">
        <v>-1177.9746613013567</v>
      </c>
      <c r="M147">
        <v>3.8462182255288528</v>
      </c>
      <c r="N147">
        <v>-804.59686239761902</v>
      </c>
      <c r="O147">
        <v>8.3867207717398369</v>
      </c>
      <c r="P147">
        <v>-146.22399319702581</v>
      </c>
      <c r="Q147">
        <v>329815318.98992473</v>
      </c>
      <c r="R147">
        <v>47823219891.240601</v>
      </c>
      <c r="S147">
        <v>15.308588588766984</v>
      </c>
      <c r="T147">
        <v>857.44684027191113</v>
      </c>
      <c r="U147">
        <v>329815318.98992473</v>
      </c>
      <c r="V147">
        <v>47823219891.240601</v>
      </c>
    </row>
    <row r="148" spans="8:22" x14ac:dyDescent="0.25">
      <c r="H148" s="38"/>
      <c r="I148" s="36">
        <v>4.1666666666666699E-2</v>
      </c>
      <c r="J148" s="37">
        <v>3.45</v>
      </c>
      <c r="K148" s="34">
        <v>1.271198922744454</v>
      </c>
      <c r="L148">
        <v>-1180.1534623786122</v>
      </c>
      <c r="M148">
        <v>3.8462182255288528</v>
      </c>
      <c r="N148">
        <v>-804.20064417209016</v>
      </c>
      <c r="O148">
        <v>8.3867207717398369</v>
      </c>
      <c r="P148">
        <v>-141.28727242528598</v>
      </c>
      <c r="Q148">
        <v>329815318.98992473</v>
      </c>
      <c r="R148">
        <v>48153035206.780525</v>
      </c>
      <c r="S148">
        <v>15.308588588766984</v>
      </c>
      <c r="T148">
        <v>869.30542886067815</v>
      </c>
      <c r="U148">
        <v>329815318.98992473</v>
      </c>
      <c r="V148">
        <v>48153035206.780525</v>
      </c>
    </row>
    <row r="149" spans="8:22" x14ac:dyDescent="0.25">
      <c r="H149" s="38"/>
      <c r="I149" s="36">
        <v>8.3333333333333301E-2</v>
      </c>
      <c r="J149" s="37">
        <v>3</v>
      </c>
      <c r="K149" s="34">
        <v>1.271198922744454</v>
      </c>
      <c r="L149">
        <v>-1181.8822634558678</v>
      </c>
      <c r="M149">
        <v>3.8462182255288528</v>
      </c>
      <c r="N149">
        <v>-803.35442594656126</v>
      </c>
      <c r="O149">
        <v>8.3867207717398369</v>
      </c>
      <c r="P149">
        <v>-135.90055165354613</v>
      </c>
      <c r="Q149">
        <v>329815318.98992473</v>
      </c>
      <c r="R149">
        <v>48482850522.770447</v>
      </c>
      <c r="S149">
        <v>15.308588588766984</v>
      </c>
      <c r="T149">
        <v>881.6140174494451</v>
      </c>
      <c r="U149">
        <v>329815318.98992473</v>
      </c>
      <c r="V149">
        <v>48482850522.770447</v>
      </c>
    </row>
    <row r="150" spans="8:22" x14ac:dyDescent="0.25">
      <c r="H150" s="38"/>
      <c r="I150" s="36">
        <v>0.125</v>
      </c>
      <c r="J150" s="37">
        <v>3.45</v>
      </c>
      <c r="K150" s="34">
        <v>1.271198922744454</v>
      </c>
      <c r="L150">
        <v>-1184.0610645331233</v>
      </c>
      <c r="M150">
        <v>3.8462182255288528</v>
      </c>
      <c r="N150">
        <v>-802.95820772103241</v>
      </c>
      <c r="O150">
        <v>8.3867207717398369</v>
      </c>
      <c r="P150">
        <v>-130.9638308818063</v>
      </c>
      <c r="Q150">
        <v>329815318.98992473</v>
      </c>
      <c r="R150">
        <v>48812665838.310371</v>
      </c>
      <c r="S150">
        <v>15.308588588766984</v>
      </c>
      <c r="T150">
        <v>893.47260603821212</v>
      </c>
      <c r="U150">
        <v>329815318.98992473</v>
      </c>
      <c r="V150">
        <v>48812665838.310371</v>
      </c>
    </row>
    <row r="151" spans="8:22" x14ac:dyDescent="0.25">
      <c r="H151" s="38"/>
      <c r="I151" s="36">
        <v>0.16666666666666699</v>
      </c>
      <c r="J151" s="37">
        <v>3.09</v>
      </c>
      <c r="K151" s="34">
        <v>1.271198922744454</v>
      </c>
      <c r="L151">
        <v>-1185.8798656103788</v>
      </c>
      <c r="M151">
        <v>3.8462182255288528</v>
      </c>
      <c r="N151">
        <v>-802.20198949550354</v>
      </c>
      <c r="O151">
        <v>8.3867207717398369</v>
      </c>
      <c r="P151">
        <v>-125.66711011006646</v>
      </c>
      <c r="Q151">
        <v>329815318.98992473</v>
      </c>
      <c r="R151">
        <v>49142481154.210297</v>
      </c>
      <c r="S151">
        <v>15.308588588766984</v>
      </c>
      <c r="T151">
        <v>905.69119462697915</v>
      </c>
      <c r="U151">
        <v>329815318.98992473</v>
      </c>
      <c r="V151">
        <v>49142481154.210297</v>
      </c>
    </row>
    <row r="152" spans="8:22" x14ac:dyDescent="0.25">
      <c r="H152" s="38"/>
      <c r="I152" s="36">
        <v>0.20833333333333301</v>
      </c>
      <c r="J152" s="37">
        <v>3.8033333333333301</v>
      </c>
      <c r="K152" s="34">
        <v>1.271198922744454</v>
      </c>
      <c r="L152">
        <v>-1188.4120000209678</v>
      </c>
      <c r="M152">
        <v>3.8462182255288528</v>
      </c>
      <c r="N152">
        <v>-802.15910460330804</v>
      </c>
      <c r="O152">
        <v>8.3867207717398369</v>
      </c>
      <c r="P152">
        <v>-121.08372267165996</v>
      </c>
      <c r="Q152">
        <v>329815318.98992473</v>
      </c>
      <c r="R152">
        <v>49472296469.396889</v>
      </c>
      <c r="S152">
        <v>15.308588588766984</v>
      </c>
      <c r="T152">
        <v>917.19644988241282</v>
      </c>
      <c r="U152">
        <v>329815318.98992473</v>
      </c>
      <c r="V152">
        <v>49472296469.396889</v>
      </c>
    </row>
    <row r="153" spans="8:22" x14ac:dyDescent="0.25">
      <c r="H153" s="38"/>
      <c r="I153" s="36">
        <v>0.25</v>
      </c>
      <c r="J153" s="37">
        <v>4.0966666666666667</v>
      </c>
      <c r="K153" s="34">
        <v>1.271198922744454</v>
      </c>
      <c r="L153">
        <v>-1191.23746776489</v>
      </c>
      <c r="M153">
        <v>3.8462182255288528</v>
      </c>
      <c r="N153">
        <v>-802.40955304444583</v>
      </c>
      <c r="O153">
        <v>8.3867207717398369</v>
      </c>
      <c r="P153">
        <v>-116.79366856658679</v>
      </c>
      <c r="Q153">
        <v>329815318.98992473</v>
      </c>
      <c r="R153">
        <v>49802111784.290146</v>
      </c>
      <c r="S153">
        <v>15.308588588766984</v>
      </c>
      <c r="T153">
        <v>928.40837180451319</v>
      </c>
      <c r="U153">
        <v>329815318.98992473</v>
      </c>
      <c r="V153">
        <v>49802111784.290146</v>
      </c>
    </row>
    <row r="154" spans="8:22" x14ac:dyDescent="0.25">
      <c r="H154" s="38"/>
      <c r="I154" s="36">
        <v>0.29166666666666702</v>
      </c>
      <c r="J154" s="37">
        <v>4.9933333333333332</v>
      </c>
      <c r="K154" s="34">
        <v>1.271198922744454</v>
      </c>
      <c r="L154">
        <v>-1194.9596021754789</v>
      </c>
      <c r="M154">
        <v>3.8462182255288528</v>
      </c>
      <c r="N154">
        <v>-803.55666815225027</v>
      </c>
      <c r="O154">
        <v>8.3867207717398369</v>
      </c>
      <c r="P154">
        <v>-113.40028112818028</v>
      </c>
      <c r="Q154">
        <v>329815318.98992473</v>
      </c>
      <c r="R154">
        <v>50131927098.286736</v>
      </c>
      <c r="S154">
        <v>15.308588588766984</v>
      </c>
      <c r="T154">
        <v>938.72362705994681</v>
      </c>
      <c r="U154">
        <v>329815318.98992473</v>
      </c>
      <c r="V154">
        <v>50131927098.286736</v>
      </c>
    </row>
    <row r="155" spans="8:22" x14ac:dyDescent="0.25">
      <c r="H155" s="38"/>
      <c r="I155" s="36">
        <v>0.33333333333333298</v>
      </c>
      <c r="J155" s="37">
        <v>5.0566666666666702</v>
      </c>
      <c r="K155" s="34">
        <v>1.271198922744454</v>
      </c>
      <c r="L155">
        <v>-1198.7450699194012</v>
      </c>
      <c r="M155">
        <v>3.8462182255288528</v>
      </c>
      <c r="N155">
        <v>-804.7671165933881</v>
      </c>
      <c r="O155">
        <v>8.3867207717398369</v>
      </c>
      <c r="P155">
        <v>-110.07022702310712</v>
      </c>
      <c r="Q155">
        <v>329815318.98992473</v>
      </c>
      <c r="R155">
        <v>50461742412.219994</v>
      </c>
      <c r="S155">
        <v>15.308588588766984</v>
      </c>
      <c r="T155">
        <v>948.97554898204714</v>
      </c>
      <c r="U155">
        <v>329815318.98992473</v>
      </c>
      <c r="V155">
        <v>50461742412.219994</v>
      </c>
    </row>
    <row r="156" spans="8:22" x14ac:dyDescent="0.25">
      <c r="H156" s="38"/>
      <c r="I156" s="36">
        <v>0.375</v>
      </c>
      <c r="J156" s="37">
        <v>5.29</v>
      </c>
      <c r="K156" s="34">
        <v>1.271198922744454</v>
      </c>
      <c r="L156">
        <v>-1202.7638709966568</v>
      </c>
      <c r="M156">
        <v>3.8462182255288528</v>
      </c>
      <c r="N156">
        <v>-806.21089836785927</v>
      </c>
      <c r="O156">
        <v>8.3867207717398369</v>
      </c>
      <c r="P156">
        <v>-106.97350625136728</v>
      </c>
      <c r="Q156">
        <v>329815318.98992473</v>
      </c>
      <c r="R156">
        <v>50791557725.919922</v>
      </c>
      <c r="S156">
        <v>15.308588588766984</v>
      </c>
      <c r="T156">
        <v>958.99413757081413</v>
      </c>
      <c r="U156">
        <v>329815318.98992473</v>
      </c>
      <c r="V156">
        <v>50791557725.919922</v>
      </c>
    </row>
    <row r="157" spans="8:22" x14ac:dyDescent="0.25">
      <c r="H157" s="38"/>
      <c r="I157" s="36">
        <v>0.41666666666666702</v>
      </c>
      <c r="J157" s="37">
        <v>5.33</v>
      </c>
      <c r="K157" s="34">
        <v>1.271198922744454</v>
      </c>
      <c r="L157">
        <v>-1206.8226720739124</v>
      </c>
      <c r="M157">
        <v>3.8462182255288528</v>
      </c>
      <c r="N157">
        <v>-807.69468014233041</v>
      </c>
      <c r="O157">
        <v>8.3867207717398369</v>
      </c>
      <c r="P157">
        <v>-103.91678547962745</v>
      </c>
      <c r="Q157">
        <v>329815318.98992473</v>
      </c>
      <c r="R157">
        <v>51121373039.579849</v>
      </c>
      <c r="S157">
        <v>15.308588588766984</v>
      </c>
      <c r="T157">
        <v>968.97272615958116</v>
      </c>
      <c r="U157">
        <v>329815318.98992473</v>
      </c>
      <c r="V157">
        <v>51121373039.579849</v>
      </c>
    </row>
    <row r="158" spans="8:22" x14ac:dyDescent="0.25">
      <c r="H158" s="38"/>
      <c r="I158" s="36">
        <v>0.45833333333333298</v>
      </c>
      <c r="J158" s="37">
        <v>4.7566666666666668</v>
      </c>
      <c r="K158" s="34">
        <v>1.271198922744454</v>
      </c>
      <c r="L158">
        <v>-1210.3081398178347</v>
      </c>
      <c r="M158">
        <v>3.8462182255288528</v>
      </c>
      <c r="N158">
        <v>-808.60512858346817</v>
      </c>
      <c r="O158">
        <v>8.3867207717398369</v>
      </c>
      <c r="P158">
        <v>-100.28673137455428</v>
      </c>
      <c r="Q158">
        <v>329815318.98992473</v>
      </c>
      <c r="R158">
        <v>51451188353.81311</v>
      </c>
      <c r="S158">
        <v>15.308588588766984</v>
      </c>
      <c r="T158">
        <v>979.52464808168145</v>
      </c>
      <c r="U158">
        <v>329815318.98992473</v>
      </c>
      <c r="V158">
        <v>51451188353.81311</v>
      </c>
    </row>
    <row r="159" spans="8:22" x14ac:dyDescent="0.25">
      <c r="H159" s="38"/>
      <c r="I159" s="36">
        <v>0.5</v>
      </c>
      <c r="J159" s="37">
        <v>5.24</v>
      </c>
      <c r="K159" s="34">
        <v>1.271198922744454</v>
      </c>
      <c r="L159">
        <v>-1214.2769408950903</v>
      </c>
      <c r="M159">
        <v>3.8462182255288528</v>
      </c>
      <c r="N159">
        <v>-809.99891035793928</v>
      </c>
      <c r="O159">
        <v>8.3867207717398369</v>
      </c>
      <c r="P159">
        <v>-97.140010602814442</v>
      </c>
      <c r="Q159">
        <v>329815318.98992473</v>
      </c>
      <c r="R159">
        <v>51781003667.563034</v>
      </c>
      <c r="S159">
        <v>15.308588588766984</v>
      </c>
      <c r="T159">
        <v>989.59323667044839</v>
      </c>
      <c r="U159">
        <v>329815318.98992473</v>
      </c>
      <c r="V159">
        <v>51781003667.563034</v>
      </c>
    </row>
    <row r="160" spans="8:22" x14ac:dyDescent="0.25">
      <c r="H160" s="38"/>
      <c r="I160" s="36">
        <v>0.54166666666666696</v>
      </c>
      <c r="J160" s="37">
        <v>4.7166666666666668</v>
      </c>
      <c r="K160" s="34">
        <v>1.271198922744454</v>
      </c>
      <c r="L160">
        <v>-1217.7224086390124</v>
      </c>
      <c r="M160">
        <v>3.8462182255288528</v>
      </c>
      <c r="N160">
        <v>-810.86935879907708</v>
      </c>
      <c r="O160">
        <v>8.3867207717398369</v>
      </c>
      <c r="P160">
        <v>-93.469956497741265</v>
      </c>
      <c r="Q160">
        <v>329815318.98992473</v>
      </c>
      <c r="R160">
        <v>52110818981.836288</v>
      </c>
      <c r="S160">
        <v>15.308588588766984</v>
      </c>
      <c r="T160">
        <v>1000.1851585925488</v>
      </c>
      <c r="U160">
        <v>329815318.98992473</v>
      </c>
      <c r="V160">
        <v>52110818981.836288</v>
      </c>
    </row>
    <row r="161" spans="8:22" x14ac:dyDescent="0.25">
      <c r="H161" s="38"/>
      <c r="I161" s="36">
        <v>0.58333333333333304</v>
      </c>
      <c r="J161" s="37">
        <v>5.373333333333334</v>
      </c>
      <c r="K161" s="34">
        <v>1.271198922744454</v>
      </c>
      <c r="L161">
        <v>-1221.8245430496013</v>
      </c>
      <c r="M161">
        <v>3.8462182255288528</v>
      </c>
      <c r="N161">
        <v>-812.39647390688151</v>
      </c>
      <c r="O161">
        <v>8.3867207717398369</v>
      </c>
      <c r="P161">
        <v>-90.456569059334768</v>
      </c>
      <c r="Q161">
        <v>329815318.98992473</v>
      </c>
      <c r="R161">
        <v>52440634295.452881</v>
      </c>
      <c r="S161">
        <v>15.308588588766984</v>
      </c>
      <c r="T161">
        <v>1010.1204138479824</v>
      </c>
      <c r="U161">
        <v>329815318.98992473</v>
      </c>
      <c r="V161">
        <v>52440634295.452881</v>
      </c>
    </row>
    <row r="162" spans="8:22" x14ac:dyDescent="0.25">
      <c r="H162" s="38"/>
      <c r="I162" s="36">
        <v>0.625</v>
      </c>
      <c r="J162" s="37">
        <v>5.39</v>
      </c>
      <c r="K162" s="34">
        <v>1.271198922744454</v>
      </c>
      <c r="L162">
        <v>-1225.9433441268568</v>
      </c>
      <c r="M162">
        <v>3.8462182255288528</v>
      </c>
      <c r="N162">
        <v>-813.94025568135271</v>
      </c>
      <c r="O162">
        <v>8.3867207717398369</v>
      </c>
      <c r="P162">
        <v>-87.459848287594937</v>
      </c>
      <c r="Q162">
        <v>329815318.98992473</v>
      </c>
      <c r="R162">
        <v>52770449609.052803</v>
      </c>
      <c r="S162">
        <v>15.308588588766984</v>
      </c>
      <c r="T162">
        <v>1020.0390024367493</v>
      </c>
      <c r="U162">
        <v>329815318.98992473</v>
      </c>
      <c r="V162">
        <v>52770449609.052803</v>
      </c>
    </row>
    <row r="163" spans="8:22" x14ac:dyDescent="0.25">
      <c r="H163" s="38"/>
      <c r="I163" s="36">
        <v>0.66666666666666696</v>
      </c>
      <c r="J163" s="37">
        <v>5.9933333333333332</v>
      </c>
      <c r="K163" s="34">
        <v>1.271198922744454</v>
      </c>
      <c r="L163">
        <v>-1230.6654785374458</v>
      </c>
      <c r="M163">
        <v>3.8462182255288528</v>
      </c>
      <c r="N163">
        <v>-816.08737078915715</v>
      </c>
      <c r="O163">
        <v>8.3867207717398369</v>
      </c>
      <c r="P163">
        <v>-85.066460849188431</v>
      </c>
      <c r="Q163">
        <v>329815318.98992473</v>
      </c>
      <c r="R163">
        <v>53100264922.049393</v>
      </c>
      <c r="S163">
        <v>15.308588588766984</v>
      </c>
      <c r="T163">
        <v>1029.354257692183</v>
      </c>
      <c r="U163">
        <v>329815318.98992473</v>
      </c>
      <c r="V163">
        <v>53100264922.049393</v>
      </c>
    </row>
    <row r="164" spans="8:22" x14ac:dyDescent="0.25">
      <c r="H164" s="38"/>
      <c r="I164" s="36">
        <v>0.70833333333333304</v>
      </c>
      <c r="J164" s="37">
        <v>5.67</v>
      </c>
      <c r="K164" s="34">
        <v>1.271198922744454</v>
      </c>
      <c r="L164">
        <v>-1235.0642796147013</v>
      </c>
      <c r="M164">
        <v>3.8462182255288528</v>
      </c>
      <c r="N164">
        <v>-817.91115256362832</v>
      </c>
      <c r="O164">
        <v>8.3867207717398369</v>
      </c>
      <c r="P164">
        <v>-82.349740077448587</v>
      </c>
      <c r="Q164">
        <v>329815318.98992473</v>
      </c>
      <c r="R164">
        <v>53430080235.369316</v>
      </c>
      <c r="S164">
        <v>15.308588588766984</v>
      </c>
      <c r="T164">
        <v>1038.9928462809498</v>
      </c>
      <c r="U164">
        <v>329815318.98992473</v>
      </c>
      <c r="V164">
        <v>53430080235.369316</v>
      </c>
    </row>
    <row r="165" spans="8:22" x14ac:dyDescent="0.25">
      <c r="H165" s="38"/>
      <c r="I165" s="36">
        <v>0.75</v>
      </c>
      <c r="J165" s="37">
        <v>5.57</v>
      </c>
      <c r="K165" s="34">
        <v>1.271198922744454</v>
      </c>
      <c r="L165">
        <v>-1239.3630806919568</v>
      </c>
      <c r="M165">
        <v>3.8462182255288528</v>
      </c>
      <c r="N165">
        <v>-819.63493433809947</v>
      </c>
      <c r="O165">
        <v>8.3867207717398369</v>
      </c>
      <c r="P165">
        <v>-79.533019305708748</v>
      </c>
      <c r="Q165">
        <v>329815318.98992473</v>
      </c>
      <c r="R165">
        <v>53759895548.789238</v>
      </c>
      <c r="S165">
        <v>15.308588588766984</v>
      </c>
      <c r="T165">
        <v>1048.7314348697168</v>
      </c>
      <c r="U165">
        <v>329815318.98992473</v>
      </c>
      <c r="V165">
        <v>53759895548.789238</v>
      </c>
    </row>
    <row r="166" spans="8:22" x14ac:dyDescent="0.25">
      <c r="H166" s="38"/>
      <c r="I166" s="36">
        <v>0.79166666666666696</v>
      </c>
      <c r="J166" s="37">
        <v>5.3666666666666671</v>
      </c>
      <c r="K166" s="34">
        <v>1.271198922744454</v>
      </c>
      <c r="L166">
        <v>-1243.458548435879</v>
      </c>
      <c r="M166">
        <v>3.8462182255288528</v>
      </c>
      <c r="N166">
        <v>-821.15538277923724</v>
      </c>
      <c r="O166">
        <v>8.3867207717398369</v>
      </c>
      <c r="P166">
        <v>-76.512965200635577</v>
      </c>
      <c r="Q166">
        <v>329815318.98992473</v>
      </c>
      <c r="R166">
        <v>54089710862.412498</v>
      </c>
      <c r="S166">
        <v>15.308588588766984</v>
      </c>
      <c r="T166">
        <v>1058.6733567918172</v>
      </c>
      <c r="U166">
        <v>329815318.98992473</v>
      </c>
      <c r="V166">
        <v>54089710862.412498</v>
      </c>
    </row>
    <row r="167" spans="8:22" x14ac:dyDescent="0.25">
      <c r="H167" s="38"/>
      <c r="I167" s="36">
        <v>0.83333333333333304</v>
      </c>
      <c r="J167" s="37">
        <v>5.1333333333333302</v>
      </c>
      <c r="K167" s="34">
        <v>1.271198922744454</v>
      </c>
      <c r="L167">
        <v>-1247.3206828464679</v>
      </c>
      <c r="M167">
        <v>3.8462182255288528</v>
      </c>
      <c r="N167">
        <v>-822.44249788704167</v>
      </c>
      <c r="O167">
        <v>8.3867207717398369</v>
      </c>
      <c r="P167">
        <v>-73.259577762229071</v>
      </c>
      <c r="Q167">
        <v>329815318.98992473</v>
      </c>
      <c r="R167">
        <v>54419526176.269089</v>
      </c>
      <c r="S167">
        <v>15.308588588766984</v>
      </c>
      <c r="T167">
        <v>1068.848612047251</v>
      </c>
      <c r="U167">
        <v>329815318.98992473</v>
      </c>
      <c r="V167">
        <v>54419526176.269089</v>
      </c>
    </row>
    <row r="168" spans="8:22" x14ac:dyDescent="0.25">
      <c r="H168" s="38"/>
      <c r="I168" s="36">
        <v>0.875</v>
      </c>
      <c r="J168" s="37">
        <v>4.60666666666667</v>
      </c>
      <c r="K168" s="34">
        <v>1.271198922744454</v>
      </c>
      <c r="L168">
        <v>-1250.6561505903901</v>
      </c>
      <c r="M168">
        <v>3.8462182255288528</v>
      </c>
      <c r="N168">
        <v>-823.20294632817945</v>
      </c>
      <c r="O168">
        <v>8.3867207717398369</v>
      </c>
      <c r="P168">
        <v>-69.479523657155909</v>
      </c>
      <c r="Q168">
        <v>329815318.98992473</v>
      </c>
      <c r="R168">
        <v>54749341490.652344</v>
      </c>
      <c r="S168">
        <v>15.308588588766984</v>
      </c>
      <c r="T168">
        <v>1079.5505339693514</v>
      </c>
      <c r="U168">
        <v>329815318.98992473</v>
      </c>
      <c r="V168">
        <v>54749341490.652344</v>
      </c>
    </row>
    <row r="169" spans="8:22" x14ac:dyDescent="0.25">
      <c r="H169" s="38"/>
      <c r="I169" s="36">
        <v>0.91666666666666696</v>
      </c>
      <c r="J169" s="37">
        <v>3.79</v>
      </c>
      <c r="K169" s="34">
        <v>1.271198922744454</v>
      </c>
      <c r="L169">
        <v>-1253.1749516676457</v>
      </c>
      <c r="M169">
        <v>3.8462182255288528</v>
      </c>
      <c r="N169">
        <v>-823.14672810265063</v>
      </c>
      <c r="O169">
        <v>8.3867207717398369</v>
      </c>
      <c r="P169">
        <v>-64.882802885416069</v>
      </c>
      <c r="Q169">
        <v>329815318.98992473</v>
      </c>
      <c r="R169">
        <v>55079156805.852272</v>
      </c>
      <c r="S169">
        <v>15.308588588766984</v>
      </c>
      <c r="T169">
        <v>1091.0691225581184</v>
      </c>
      <c r="U169">
        <v>329815318.98992473</v>
      </c>
      <c r="V169">
        <v>55079156805.852272</v>
      </c>
    </row>
    <row r="170" spans="8:22" x14ac:dyDescent="0.25">
      <c r="H170" s="34"/>
      <c r="I170" s="36">
        <v>0.95833333333333304</v>
      </c>
      <c r="J170" s="37">
        <v>3.7133333333333298</v>
      </c>
      <c r="K170" s="34"/>
      <c r="L170">
        <v>-1255.6170860782345</v>
      </c>
      <c r="N170">
        <v>-823.01384321045509</v>
      </c>
      <c r="P170">
        <v>-60.209415447009562</v>
      </c>
      <c r="R170">
        <v>55408972121.12886</v>
      </c>
      <c r="T170">
        <v>1102.6643778135519</v>
      </c>
      <c r="V170">
        <v>55408972121.12886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D4A4-7FE4-44FE-9038-8CD5706337DC}">
  <dimension ref="A1:J7"/>
  <sheetViews>
    <sheetView tabSelected="1" workbookViewId="0"/>
  </sheetViews>
  <sheetFormatPr defaultRowHeight="13.2" x14ac:dyDescent="0.25"/>
  <cols>
    <col min="1" max="1" width="12.88671875" bestFit="1" customWidth="1"/>
    <col min="2" max="2" width="12.77734375" bestFit="1" customWidth="1"/>
    <col min="3" max="3" width="11" bestFit="1" customWidth="1"/>
    <col min="4" max="4" width="21" bestFit="1" customWidth="1"/>
    <col min="5" max="5" width="17.33203125" bestFit="1" customWidth="1"/>
    <col min="6" max="6" width="22" bestFit="1" customWidth="1"/>
    <col min="7" max="8" width="18.21875" bestFit="1" customWidth="1"/>
    <col min="9" max="9" width="20" bestFit="1" customWidth="1"/>
    <col min="10" max="10" width="17" bestFit="1" customWidth="1"/>
  </cols>
  <sheetData>
    <row r="1" spans="1:10" ht="25.05" customHeight="1" x14ac:dyDescent="0.25">
      <c r="A1" s="39" t="s">
        <v>15</v>
      </c>
      <c r="B1" s="39" t="s">
        <v>19</v>
      </c>
      <c r="C1" s="27" t="s">
        <v>27</v>
      </c>
      <c r="D1" s="34" t="s">
        <v>30</v>
      </c>
      <c r="E1" s="34" t="s">
        <v>31</v>
      </c>
      <c r="F1" s="34" t="s">
        <v>32</v>
      </c>
      <c r="G1" s="34" t="s">
        <v>33</v>
      </c>
      <c r="H1" s="34" t="s">
        <v>34</v>
      </c>
      <c r="I1" s="34" t="s">
        <v>35</v>
      </c>
      <c r="J1" s="34" t="s">
        <v>36</v>
      </c>
    </row>
    <row r="2" spans="1:10" x14ac:dyDescent="0.25">
      <c r="A2" s="31">
        <v>11.25</v>
      </c>
      <c r="B2" s="40">
        <v>0.05</v>
      </c>
      <c r="C2">
        <v>1.271198922744454</v>
      </c>
      <c r="D2" s="34">
        <v>9.9999999999999982</v>
      </c>
      <c r="E2" s="41">
        <v>100125</v>
      </c>
      <c r="F2" s="34">
        <v>1268.6170860782345</v>
      </c>
      <c r="G2" s="34">
        <v>79.402419916033992</v>
      </c>
      <c r="H2" s="34">
        <v>1348.0195059942685</v>
      </c>
      <c r="I2" s="41">
        <v>741410.73</v>
      </c>
      <c r="J2" s="41">
        <v>841535.73</v>
      </c>
    </row>
    <row r="3" spans="1:10" x14ac:dyDescent="0.25">
      <c r="A3" s="31">
        <v>17</v>
      </c>
      <c r="B3" s="40">
        <v>7.4999999999999997E-2</v>
      </c>
      <c r="C3">
        <v>3.8462182255288528</v>
      </c>
      <c r="D3" s="34">
        <v>9.9999999999999982</v>
      </c>
      <c r="E3" s="41">
        <v>151300</v>
      </c>
      <c r="F3" s="34">
        <v>837.26531923029484</v>
      </c>
      <c r="G3" s="34">
        <v>79.402419916033992</v>
      </c>
      <c r="H3" s="34">
        <v>916.66773914632881</v>
      </c>
      <c r="I3" s="41">
        <v>504167.26</v>
      </c>
      <c r="J3" s="41">
        <v>655467.26</v>
      </c>
    </row>
    <row r="4" spans="1:10" x14ac:dyDescent="0.25">
      <c r="A4" s="42">
        <v>25.75</v>
      </c>
      <c r="B4" s="43">
        <v>0.1</v>
      </c>
      <c r="C4" s="28">
        <v>8.3867207717398369</v>
      </c>
      <c r="D4" s="44">
        <v>10</v>
      </c>
      <c r="E4" s="45">
        <v>229175</v>
      </c>
      <c r="F4" s="44">
        <v>214.14206513907737</v>
      </c>
      <c r="G4" s="44">
        <v>79.402419916033992</v>
      </c>
      <c r="H4" s="44">
        <v>293.54448505511135</v>
      </c>
      <c r="I4" s="45">
        <v>161449.47</v>
      </c>
      <c r="J4" s="45">
        <v>390624.47</v>
      </c>
    </row>
    <row r="5" spans="1:10" x14ac:dyDescent="0.25">
      <c r="A5" s="31">
        <v>26</v>
      </c>
      <c r="B5" s="40">
        <v>80</v>
      </c>
      <c r="C5">
        <v>329815318.98992473</v>
      </c>
      <c r="D5" s="34"/>
      <c r="E5" s="34"/>
      <c r="F5" s="34"/>
      <c r="G5" s="34"/>
      <c r="H5" s="34"/>
      <c r="I5" s="34"/>
      <c r="J5" s="34"/>
    </row>
    <row r="6" spans="1:10" x14ac:dyDescent="0.25">
      <c r="A6" s="31">
        <v>28</v>
      </c>
      <c r="B6" s="40">
        <v>0.125</v>
      </c>
      <c r="C6">
        <v>15.308588588766984</v>
      </c>
      <c r="D6" s="34">
        <v>10</v>
      </c>
      <c r="E6" s="41">
        <v>249200</v>
      </c>
      <c r="F6" s="34">
        <v>1115.6643778135519</v>
      </c>
      <c r="G6" s="34">
        <v>79.402419916033992</v>
      </c>
      <c r="H6" s="34">
        <v>1195.0667977295859</v>
      </c>
      <c r="I6" s="41">
        <v>657286.74</v>
      </c>
      <c r="J6" s="41">
        <v>906486.74</v>
      </c>
    </row>
    <row r="7" spans="1:10" x14ac:dyDescent="0.25">
      <c r="A7" s="31">
        <v>32</v>
      </c>
      <c r="B7" s="40">
        <v>80</v>
      </c>
      <c r="C7">
        <v>329815318.98992473</v>
      </c>
      <c r="D7" s="34"/>
      <c r="E7" s="34"/>
      <c r="F7" s="34"/>
      <c r="G7" s="34"/>
      <c r="H7" s="34"/>
      <c r="I7" s="34"/>
      <c r="J7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balancing storage calculations</vt:lpstr>
      <vt:lpstr>Optimization</vt:lpstr>
    </vt:vector>
  </TitlesOfParts>
  <Company>Wits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Adesola (Adeshola) Ilemobade;Tshepiso Moela</dc:creator>
  <cp:lastModifiedBy>Tshepiso Moela</cp:lastModifiedBy>
  <cp:lastPrinted>2003-11-13T21:06:57Z</cp:lastPrinted>
  <dcterms:created xsi:type="dcterms:W3CDTF">2002-08-15T10:47:22Z</dcterms:created>
  <dcterms:modified xsi:type="dcterms:W3CDTF">2025-09-21T12:19:25Z</dcterms:modified>
</cp:coreProperties>
</file>